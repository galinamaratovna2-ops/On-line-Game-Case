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e\OneDrive\Рабочий стол\ГХ_SkyPro\Основы SQL\Курсовая работа\"/>
    </mc:Choice>
  </mc:AlternateContent>
  <xr:revisionPtr revIDLastSave="0" documentId="13_ncr:1_{303DC003-6B12-4AEC-9460-186A09A84F8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Динамика регистраций" sheetId="1" r:id="rId1"/>
    <sheet name="Динамика кол-ва сессий" sheetId="2" r:id="rId2"/>
    <sheet name="Динаника ср.длительности сессии" sheetId="3" r:id="rId3"/>
    <sheet name="рез-ты реф.программы" sheetId="4" r:id="rId4"/>
  </sheets>
  <calcPr calcId="181029"/>
</workbook>
</file>

<file path=xl/calcChain.xml><?xml version="1.0" encoding="utf-8"?>
<calcChain xmlns="http://schemas.openxmlformats.org/spreadsheetml/2006/main">
  <c r="G8" i="4" l="1"/>
  <c r="G10" i="4"/>
  <c r="B17" i="2" l="1"/>
  <c r="B16" i="2"/>
  <c r="B16" i="1"/>
  <c r="G6" i="4"/>
  <c r="L2" i="4"/>
  <c r="J2" i="4"/>
  <c r="H2" i="4"/>
  <c r="E14" i="2"/>
  <c r="E13" i="2"/>
  <c r="D14" i="2"/>
  <c r="D13" i="2"/>
</calcChain>
</file>

<file path=xl/sharedStrings.xml><?xml version="1.0" encoding="utf-8"?>
<sst xmlns="http://schemas.openxmlformats.org/spreadsheetml/2006/main" count="26" uniqueCount="21">
  <si>
    <t>Месяц</t>
  </si>
  <si>
    <t>Количество регистаций</t>
  </si>
  <si>
    <t>Кол-во сессий</t>
  </si>
  <si>
    <t>Кол-во сессий больше 5 мин.</t>
  </si>
  <si>
    <t>Доля сессий больше 5 мин.</t>
  </si>
  <si>
    <t>Средняя длительность сессии</t>
  </si>
  <si>
    <t>id_user</t>
  </si>
  <si>
    <t>кол-во приглашений</t>
  </si>
  <si>
    <t>доля успешных</t>
  </si>
  <si>
    <t>Доля "длинных" сессий</t>
  </si>
  <si>
    <t>Кол-во приглашающих</t>
  </si>
  <si>
    <t>Кол-во приглашений</t>
  </si>
  <si>
    <t>Кол-во успешных приглашений</t>
  </si>
  <si>
    <t>Кол-во пользователей</t>
  </si>
  <si>
    <t>Доля участников</t>
  </si>
  <si>
    <t>Кол-во приглашений на одного участника</t>
  </si>
  <si>
    <t>Доля успешных приглашений</t>
  </si>
  <si>
    <t>Кол-во пользователей, чел.</t>
  </si>
  <si>
    <t>Кол-во участников программы, чел.</t>
  </si>
  <si>
    <t>Доля участников программы</t>
  </si>
  <si>
    <t>Кол-во приглашений на одного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</si>
</sst>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9" fontId="0" fillId="0" borderId="6" xfId="1" applyFont="1" applyBorder="1"/>
    <xf numFmtId="2" fontId="0" fillId="0" borderId="6" xfId="0" applyNumberFormat="1" applyBorder="1"/>
    <xf numFmtId="10" fontId="0" fillId="0" borderId="6" xfId="1" applyNumberFormat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регистраций в игре </a:t>
            </a:r>
          </a:p>
          <a:p>
            <a:pPr>
              <a:defRPr/>
            </a:pPr>
            <a:r>
              <a:rPr lang="ru-RU"/>
              <a:t>с июля 2022 г. по март 2023 г.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'Динамика регистраций'!$B$1</c:f>
              <c:strCache>
                <c:ptCount val="1"/>
                <c:pt idx="0">
                  <c:v>Количество регистаций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'Динамика регистраций'!$A$2:$A$10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'Динамика регистраций'!$B$2:$B$10</c:f>
              <c:numCache>
                <c:formatCode>General</c:formatCode>
                <c:ptCount val="9"/>
                <c:pt idx="0">
                  <c:v>259</c:v>
                </c:pt>
                <c:pt idx="1">
                  <c:v>235</c:v>
                </c:pt>
                <c:pt idx="2">
                  <c:v>257</c:v>
                </c:pt>
                <c:pt idx="3">
                  <c:v>263</c:v>
                </c:pt>
                <c:pt idx="4">
                  <c:v>255</c:v>
                </c:pt>
                <c:pt idx="5">
                  <c:v>255</c:v>
                </c:pt>
                <c:pt idx="6">
                  <c:v>415</c:v>
                </c:pt>
                <c:pt idx="7">
                  <c:v>458</c:v>
                </c:pt>
                <c:pt idx="8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1-4887-9713-2EFD986A90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67880016"/>
        <c:axId val="2067870416"/>
      </c:lineChart>
      <c:dateAx>
        <c:axId val="206788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870416"/>
        <c:crosses val="autoZero"/>
        <c:auto val="1"/>
        <c:lblOffset val="100"/>
        <c:baseTimeUnit val="months"/>
      </c:dateAx>
      <c:valAx>
        <c:axId val="2067870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регистаций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206788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количества сессий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'Динамика кол-ва сессий'!$B$1</c:f>
              <c:strCache>
                <c:ptCount val="1"/>
                <c:pt idx="0">
                  <c:v>Кол-во сессий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'Динамика кол-ва сессий'!$A$2:$A$11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'Динамика кол-ва сессий'!$B$2:$B$11</c:f>
              <c:numCache>
                <c:formatCode>General</c:formatCode>
                <c:ptCount val="10"/>
                <c:pt idx="0">
                  <c:v>1203</c:v>
                </c:pt>
                <c:pt idx="1">
                  <c:v>2209</c:v>
                </c:pt>
                <c:pt idx="2">
                  <c:v>2233</c:v>
                </c:pt>
                <c:pt idx="3">
                  <c:v>2332</c:v>
                </c:pt>
                <c:pt idx="4">
                  <c:v>1688</c:v>
                </c:pt>
                <c:pt idx="5">
                  <c:v>935</c:v>
                </c:pt>
                <c:pt idx="6">
                  <c:v>2426</c:v>
                </c:pt>
                <c:pt idx="7">
                  <c:v>3383</c:v>
                </c:pt>
                <c:pt idx="8">
                  <c:v>5779</c:v>
                </c:pt>
                <c:pt idx="9">
                  <c:v>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5-4534-BF53-B3ACEC5FB39A}"/>
            </c:ext>
          </c:extLst>
        </c:ser>
        <c:ser>
          <c:idx val="1"/>
          <c:order val="1"/>
          <c:tx>
            <c:strRef>
              <c:f>'Динамика кол-ва сессий'!$C$1</c:f>
              <c:strCache>
                <c:ptCount val="1"/>
                <c:pt idx="0">
                  <c:v>Кол-во сессий больше 5 мин.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'Динамика кол-ва сессий'!$A$2:$A$11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'Динамика кол-ва сессий'!$C$2:$C$11</c:f>
              <c:numCache>
                <c:formatCode>General</c:formatCode>
                <c:ptCount val="10"/>
                <c:pt idx="0">
                  <c:v>919</c:v>
                </c:pt>
                <c:pt idx="1">
                  <c:v>1707</c:v>
                </c:pt>
                <c:pt idx="2">
                  <c:v>1715</c:v>
                </c:pt>
                <c:pt idx="3">
                  <c:v>1809</c:v>
                </c:pt>
                <c:pt idx="4">
                  <c:v>1253</c:v>
                </c:pt>
                <c:pt idx="5">
                  <c:v>612</c:v>
                </c:pt>
                <c:pt idx="6">
                  <c:v>1775</c:v>
                </c:pt>
                <c:pt idx="7">
                  <c:v>2429</c:v>
                </c:pt>
                <c:pt idx="8">
                  <c:v>3895</c:v>
                </c:pt>
                <c:pt idx="9">
                  <c:v>3243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5-4534-BF53-B3ACEC5FB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876656"/>
        <c:axId val="2067868976"/>
      </c:lineChart>
      <c:lineChart>
        <c:grouping val="standard"/>
        <c:varyColors val="0"/>
        <c:ser>
          <c:idx val="2"/>
          <c:order val="2"/>
          <c:tx>
            <c:strRef>
              <c:f>'Динамика кол-ва сессий'!$D$1</c:f>
              <c:strCache>
                <c:ptCount val="1"/>
                <c:pt idx="0">
                  <c:v>Доля сессий больше 5 мин.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'Динамика кол-ва сессий'!$A$2:$A$11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'Динамика кол-ва сессий'!$D$2:$D$11</c:f>
              <c:numCache>
                <c:formatCode>0.00</c:formatCode>
                <c:ptCount val="10"/>
                <c:pt idx="0">
                  <c:v>0.76392352452202827</c:v>
                </c:pt>
                <c:pt idx="1">
                  <c:v>0.77274784970574917</c:v>
                </c:pt>
                <c:pt idx="2">
                  <c:v>0.76802507836990597</c:v>
                </c:pt>
                <c:pt idx="3">
                  <c:v>0.77572898799313894</c:v>
                </c:pt>
                <c:pt idx="4">
                  <c:v>0.74229857819905209</c:v>
                </c:pt>
                <c:pt idx="5">
                  <c:v>0.65454545454545454</c:v>
                </c:pt>
                <c:pt idx="6">
                  <c:v>0.73165704863973624</c:v>
                </c:pt>
                <c:pt idx="7">
                  <c:v>0.71800177357375106</c:v>
                </c:pt>
                <c:pt idx="8">
                  <c:v>0.67399204014535385</c:v>
                </c:pt>
                <c:pt idx="9">
                  <c:v>0.65212145586165293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5-4534-BF53-B3ACEC5FB39A}"/>
            </c:ext>
          </c:extLst>
        </c:ser>
        <c:ser>
          <c:idx val="3"/>
          <c:order val="3"/>
          <c:tx>
            <c:v>Доля "длинных" сессий</c:v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'Динамика кол-ва сессий'!$E$2:$E$11</c:f>
              <c:numCache>
                <c:formatCode>0.00</c:formatCode>
                <c:ptCount val="10"/>
                <c:pt idx="0">
                  <c:v>0.66811751904243744</c:v>
                </c:pt>
                <c:pt idx="1">
                  <c:v>0.69244288224956063</c:v>
                </c:pt>
                <c:pt idx="2">
                  <c:v>0.69154518950437316</c:v>
                </c:pt>
                <c:pt idx="3">
                  <c:v>0.6843559977888336</c:v>
                </c:pt>
                <c:pt idx="4">
                  <c:v>0.63607342378292098</c:v>
                </c:pt>
                <c:pt idx="5">
                  <c:v>0.56372549019607843</c:v>
                </c:pt>
                <c:pt idx="6">
                  <c:v>0.65014084507042258</c:v>
                </c:pt>
                <c:pt idx="7">
                  <c:v>0.66941128036228903</c:v>
                </c:pt>
                <c:pt idx="8">
                  <c:v>0.6426187419768935</c:v>
                </c:pt>
                <c:pt idx="9">
                  <c:v>0.70027752081406103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15-4534-BF53-B3ACEC5FB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875696"/>
        <c:axId val="2067867056"/>
      </c:lineChart>
      <c:dateAx>
        <c:axId val="20678766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868976"/>
        <c:crosses val="autoZero"/>
        <c:auto val="1"/>
        <c:lblOffset val="100"/>
        <c:baseTimeUnit val="months"/>
      </c:dateAx>
      <c:valAx>
        <c:axId val="20678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сессий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876656"/>
        <c:crosses val="autoZero"/>
        <c:crossBetween val="between"/>
      </c:valAx>
      <c:valAx>
        <c:axId val="2067867056"/>
        <c:scaling>
          <c:orientation val="minMax"/>
          <c:min val="0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.Доля сессий 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875696"/>
        <c:crosses val="max"/>
        <c:crossBetween val="between"/>
        <c:majorUnit val="5.000000000000001E-2"/>
      </c:valAx>
      <c:dateAx>
        <c:axId val="20678756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6786705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5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средней длительности сессии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'Динаника ср.длительности сессии'!$A$1</c:f>
              <c:strCache>
                <c:ptCount val="1"/>
                <c:pt idx="0">
                  <c:v>Месяц</c:v>
                </c:pt>
              </c:strCache>
            </c:strRef>
          </c:tx>
          <c:spPr>
            <a:ln w="317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'Динаника ср.длительности сессии'!$A$2:$A$11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'Динаника ср.длительности сессии'!$A$2:$A$11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E-4DB5-BEBF-F6D2F1D271A2}"/>
            </c:ext>
          </c:extLst>
        </c:ser>
        <c:ser>
          <c:idx val="1"/>
          <c:order val="1"/>
          <c:tx>
            <c:strRef>
              <c:f>'Динаника ср.длительности сессии'!$B$1</c:f>
              <c:strCache>
                <c:ptCount val="1"/>
                <c:pt idx="0">
                  <c:v>Средняя длительность сессии</c:v>
                </c:pt>
              </c:strCache>
            </c:strRef>
          </c:tx>
          <c:spPr>
            <a:ln w="317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'Динаника ср.длительности сессии'!$A$2:$A$11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'Динаника ср.длительности сессии'!$B$2:$B$11</c:f>
              <c:numCache>
                <c:formatCode>h:mm;@</c:formatCode>
                <c:ptCount val="10"/>
                <c:pt idx="0">
                  <c:v>9.2361111111111116E-2</c:v>
                </c:pt>
                <c:pt idx="1">
                  <c:v>9.6527777777777782E-2</c:v>
                </c:pt>
                <c:pt idx="2">
                  <c:v>9.4444444444444442E-2</c:v>
                </c:pt>
                <c:pt idx="3">
                  <c:v>9.8611111111111108E-2</c:v>
                </c:pt>
                <c:pt idx="4">
                  <c:v>0.10416666666666667</c:v>
                </c:pt>
                <c:pt idx="5">
                  <c:v>0.11319444444444444</c:v>
                </c:pt>
                <c:pt idx="6">
                  <c:v>9.930555555555555E-2</c:v>
                </c:pt>
                <c:pt idx="7">
                  <c:v>9.5138888888888884E-2</c:v>
                </c:pt>
                <c:pt idx="8">
                  <c:v>0.23055555555555557</c:v>
                </c:pt>
                <c:pt idx="9">
                  <c:v>9.7222222222222224E-2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E-4DB5-BEBF-F6D2F1D271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67894416"/>
        <c:axId val="2067895856"/>
      </c:lineChart>
      <c:dateAx>
        <c:axId val="206789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895856"/>
        <c:crosses val="autoZero"/>
        <c:auto val="1"/>
        <c:lblOffset val="100"/>
        <c:baseTimeUnit val="months"/>
      </c:dateAx>
      <c:valAx>
        <c:axId val="2067895856"/>
        <c:scaling>
          <c:orientation val="minMax"/>
          <c:max val="0.35000000000000003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Час: : 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;@" sourceLinked="0"/>
        <c:majorTickMark val="none"/>
        <c:minorTickMark val="none"/>
        <c:tickLblPos val="nextTo"/>
        <c:crossAx val="206789441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190499</xdr:rowOff>
    </xdr:from>
    <xdr:to>
      <xdr:col>12</xdr:col>
      <xdr:colOff>57150</xdr:colOff>
      <xdr:row>20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16AB58-A953-B851-53C5-AD4B7C9F3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4762</xdr:rowOff>
    </xdr:from>
    <xdr:to>
      <xdr:col>17</xdr:col>
      <xdr:colOff>419100</xdr:colOff>
      <xdr:row>22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2B50FC-F037-94CA-DB41-76F6D4051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</xdr:row>
      <xdr:rowOff>4762</xdr:rowOff>
    </xdr:from>
    <xdr:to>
      <xdr:col>15</xdr:col>
      <xdr:colOff>9525</xdr:colOff>
      <xdr:row>20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7E16B31-D799-87E9-9ACE-DF11BD6DB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6" sqref="B16"/>
    </sheetView>
  </sheetViews>
  <sheetFormatPr defaultRowHeight="15" x14ac:dyDescent="0.25"/>
  <cols>
    <col min="1" max="1" width="16.140625" customWidth="1"/>
    <col min="2" max="2" width="2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44743</v>
      </c>
      <c r="B2">
        <v>259</v>
      </c>
    </row>
    <row r="3" spans="1:2" x14ac:dyDescent="0.25">
      <c r="A3" s="1">
        <v>44774</v>
      </c>
      <c r="B3">
        <v>235</v>
      </c>
    </row>
    <row r="4" spans="1:2" x14ac:dyDescent="0.25">
      <c r="A4" s="1">
        <v>44805</v>
      </c>
      <c r="B4">
        <v>257</v>
      </c>
    </row>
    <row r="5" spans="1:2" x14ac:dyDescent="0.25">
      <c r="A5" s="1">
        <v>44835</v>
      </c>
      <c r="B5">
        <v>263</v>
      </c>
    </row>
    <row r="6" spans="1:2" x14ac:dyDescent="0.25">
      <c r="A6" s="1">
        <v>44866</v>
      </c>
      <c r="B6">
        <v>255</v>
      </c>
    </row>
    <row r="7" spans="1:2" x14ac:dyDescent="0.25">
      <c r="A7" s="1">
        <v>44896</v>
      </c>
      <c r="B7">
        <v>255</v>
      </c>
    </row>
    <row r="8" spans="1:2" x14ac:dyDescent="0.25">
      <c r="A8" s="1">
        <v>44927</v>
      </c>
      <c r="B8">
        <v>415</v>
      </c>
    </row>
    <row r="9" spans="1:2" x14ac:dyDescent="0.25">
      <c r="A9" s="1">
        <v>44958</v>
      </c>
      <c r="B9">
        <v>458</v>
      </c>
    </row>
    <row r="10" spans="1:2" x14ac:dyDescent="0.25">
      <c r="A10" s="1">
        <v>44986</v>
      </c>
      <c r="B10">
        <v>681</v>
      </c>
    </row>
    <row r="16" spans="1:2" x14ac:dyDescent="0.25">
      <c r="B16">
        <f>SUM(B2:B10)</f>
        <v>3078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5605-7F6D-4A49-940E-6E7FA683DCC7}">
  <dimension ref="A1:E17"/>
  <sheetViews>
    <sheetView workbookViewId="0">
      <selection activeCell="B18" sqref="B18"/>
    </sheetView>
  </sheetViews>
  <sheetFormatPr defaultRowHeight="15" x14ac:dyDescent="0.25"/>
  <cols>
    <col min="1" max="1" width="16.28515625" customWidth="1"/>
    <col min="2" max="2" width="13.85546875" bestFit="1" customWidth="1"/>
    <col min="3" max="3" width="28" bestFit="1" customWidth="1"/>
    <col min="4" max="4" width="22.42578125" customWidth="1"/>
    <col min="5" max="5" width="12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9</v>
      </c>
    </row>
    <row r="2" spans="1:5" x14ac:dyDescent="0.25">
      <c r="A2" s="1">
        <v>44743</v>
      </c>
      <c r="B2">
        <v>1203</v>
      </c>
      <c r="C2">
        <v>919</v>
      </c>
      <c r="D2" s="2">
        <v>0.76392352452202827</v>
      </c>
      <c r="E2" s="2">
        <v>0.66811751904243744</v>
      </c>
    </row>
    <row r="3" spans="1:5" x14ac:dyDescent="0.25">
      <c r="A3" s="1">
        <v>44774</v>
      </c>
      <c r="B3">
        <v>2209</v>
      </c>
      <c r="C3">
        <v>1707</v>
      </c>
      <c r="D3" s="2">
        <v>0.77274784970574917</v>
      </c>
      <c r="E3" s="2">
        <v>0.69244288224956063</v>
      </c>
    </row>
    <row r="4" spans="1:5" x14ac:dyDescent="0.25">
      <c r="A4" s="1">
        <v>44805</v>
      </c>
      <c r="B4">
        <v>2233</v>
      </c>
      <c r="C4">
        <v>1715</v>
      </c>
      <c r="D4" s="2">
        <v>0.76802507836990597</v>
      </c>
      <c r="E4" s="2">
        <v>0.69154518950437316</v>
      </c>
    </row>
    <row r="5" spans="1:5" x14ac:dyDescent="0.25">
      <c r="A5" s="1">
        <v>44835</v>
      </c>
      <c r="B5">
        <v>2332</v>
      </c>
      <c r="C5">
        <v>1809</v>
      </c>
      <c r="D5" s="2">
        <v>0.77572898799313894</v>
      </c>
      <c r="E5" s="2">
        <v>0.6843559977888336</v>
      </c>
    </row>
    <row r="6" spans="1:5" x14ac:dyDescent="0.25">
      <c r="A6" s="1">
        <v>44866</v>
      </c>
      <c r="B6">
        <v>1688</v>
      </c>
      <c r="C6">
        <v>1253</v>
      </c>
      <c r="D6" s="2">
        <v>0.74229857819905209</v>
      </c>
      <c r="E6" s="2">
        <v>0.63607342378292098</v>
      </c>
    </row>
    <row r="7" spans="1:5" x14ac:dyDescent="0.25">
      <c r="A7" s="1">
        <v>44896</v>
      </c>
      <c r="B7">
        <v>935</v>
      </c>
      <c r="C7">
        <v>612</v>
      </c>
      <c r="D7" s="2">
        <v>0.65454545454545454</v>
      </c>
      <c r="E7" s="2">
        <v>0.56372549019607843</v>
      </c>
    </row>
    <row r="8" spans="1:5" x14ac:dyDescent="0.25">
      <c r="A8" s="1">
        <v>44927</v>
      </c>
      <c r="B8">
        <v>2426</v>
      </c>
      <c r="C8">
        <v>1775</v>
      </c>
      <c r="D8" s="2">
        <v>0.73165704863973624</v>
      </c>
      <c r="E8" s="2">
        <v>0.65014084507042258</v>
      </c>
    </row>
    <row r="9" spans="1:5" x14ac:dyDescent="0.25">
      <c r="A9" s="1">
        <v>44958</v>
      </c>
      <c r="B9">
        <v>3383</v>
      </c>
      <c r="C9">
        <v>2429</v>
      </c>
      <c r="D9" s="2">
        <v>0.71800177357375106</v>
      </c>
      <c r="E9" s="2">
        <v>0.66941128036228903</v>
      </c>
    </row>
    <row r="10" spans="1:5" x14ac:dyDescent="0.25">
      <c r="A10" s="1">
        <v>44986</v>
      </c>
      <c r="B10">
        <v>5779</v>
      </c>
      <c r="C10">
        <v>3895</v>
      </c>
      <c r="D10" s="2">
        <v>0.67399204014535385</v>
      </c>
      <c r="E10" s="2">
        <v>0.6426187419768935</v>
      </c>
    </row>
    <row r="11" spans="1:5" x14ac:dyDescent="0.25">
      <c r="A11" s="1">
        <v>45017</v>
      </c>
      <c r="B11">
        <v>4973</v>
      </c>
      <c r="C11">
        <v>3243</v>
      </c>
      <c r="D11" s="2">
        <v>0.65212145586165293</v>
      </c>
      <c r="E11" s="2">
        <v>0.70027752081406103</v>
      </c>
    </row>
    <row r="13" spans="1:5" x14ac:dyDescent="0.25">
      <c r="D13" s="2">
        <f>MIN(D2:D11)</f>
        <v>0.65212145586165293</v>
      </c>
      <c r="E13" s="2">
        <f>MIN(E2:E11)</f>
        <v>0.56372549019607843</v>
      </c>
    </row>
    <row r="14" spans="1:5" x14ac:dyDescent="0.25">
      <c r="D14" s="2">
        <f>MAX(D2:D11)</f>
        <v>0.77572898799313894</v>
      </c>
      <c r="E14" s="2">
        <f>MAX(E2:E11)</f>
        <v>0.70027752081406103</v>
      </c>
    </row>
    <row r="15" spans="1:5" x14ac:dyDescent="0.25">
      <c r="B15">
        <v>19357</v>
      </c>
    </row>
    <row r="16" spans="1:5" x14ac:dyDescent="0.25">
      <c r="B16">
        <f>SUM(B2:B11)</f>
        <v>27161</v>
      </c>
    </row>
    <row r="17" spans="2:2" x14ac:dyDescent="0.25">
      <c r="B17">
        <f>B15/B16</f>
        <v>0.71267626376053905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BE8-88C8-4234-8658-865542354AA8}">
  <dimension ref="A1:E11"/>
  <sheetViews>
    <sheetView workbookViewId="0">
      <selection activeCell="I25" sqref="I25"/>
    </sheetView>
  </sheetViews>
  <sheetFormatPr defaultRowHeight="15" x14ac:dyDescent="0.25"/>
  <cols>
    <col min="1" max="1" width="19.140625" customWidth="1"/>
    <col min="4" max="4" width="13.42578125" customWidth="1"/>
  </cols>
  <sheetData>
    <row r="1" spans="1:5" x14ac:dyDescent="0.25">
      <c r="A1" t="s">
        <v>0</v>
      </c>
      <c r="B1" t="s">
        <v>5</v>
      </c>
    </row>
    <row r="2" spans="1:5" x14ac:dyDescent="0.25">
      <c r="A2" s="1">
        <v>44743</v>
      </c>
      <c r="B2" s="3">
        <v>9.2361111111111116E-2</v>
      </c>
      <c r="D2">
        <v>2</v>
      </c>
      <c r="E2">
        <v>13</v>
      </c>
    </row>
    <row r="3" spans="1:5" x14ac:dyDescent="0.25">
      <c r="A3" s="1">
        <v>44774</v>
      </c>
      <c r="B3" s="3">
        <v>9.6527777777777782E-2</v>
      </c>
      <c r="D3">
        <v>2</v>
      </c>
      <c r="E3">
        <v>19</v>
      </c>
    </row>
    <row r="4" spans="1:5" x14ac:dyDescent="0.25">
      <c r="A4" s="1">
        <v>44805</v>
      </c>
      <c r="B4" s="3">
        <v>9.4444444444444442E-2</v>
      </c>
      <c r="D4">
        <v>2</v>
      </c>
      <c r="E4">
        <v>16</v>
      </c>
    </row>
    <row r="5" spans="1:5" x14ac:dyDescent="0.25">
      <c r="A5" s="1">
        <v>44835</v>
      </c>
      <c r="B5" s="3">
        <v>9.8611111111111108E-2</v>
      </c>
      <c r="D5">
        <v>2</v>
      </c>
      <c r="E5">
        <v>22</v>
      </c>
    </row>
    <row r="6" spans="1:5" x14ac:dyDescent="0.25">
      <c r="A6" s="1">
        <v>44866</v>
      </c>
      <c r="B6" s="3">
        <v>0.10416666666666667</v>
      </c>
      <c r="D6">
        <v>2</v>
      </c>
      <c r="E6">
        <v>30</v>
      </c>
    </row>
    <row r="7" spans="1:5" x14ac:dyDescent="0.25">
      <c r="A7" s="1">
        <v>44896</v>
      </c>
      <c r="B7" s="3">
        <v>0.11319444444444444</v>
      </c>
      <c r="D7">
        <v>2</v>
      </c>
      <c r="E7">
        <v>43</v>
      </c>
    </row>
    <row r="8" spans="1:5" x14ac:dyDescent="0.25">
      <c r="A8" s="1">
        <v>44927</v>
      </c>
      <c r="B8" s="3">
        <v>9.930555555555555E-2</v>
      </c>
      <c r="D8">
        <v>2</v>
      </c>
      <c r="E8">
        <v>23</v>
      </c>
    </row>
    <row r="9" spans="1:5" x14ac:dyDescent="0.25">
      <c r="A9" s="1">
        <v>44958</v>
      </c>
      <c r="B9" s="3">
        <v>9.5138888888888884E-2</v>
      </c>
      <c r="D9">
        <v>2</v>
      </c>
      <c r="E9">
        <v>17</v>
      </c>
    </row>
    <row r="10" spans="1:5" x14ac:dyDescent="0.25">
      <c r="A10" s="1">
        <v>44986</v>
      </c>
      <c r="B10" s="3">
        <v>0.23055555555555557</v>
      </c>
      <c r="D10">
        <v>5</v>
      </c>
      <c r="E10">
        <v>32</v>
      </c>
    </row>
    <row r="11" spans="1:5" x14ac:dyDescent="0.25">
      <c r="A11" s="1">
        <v>45017</v>
      </c>
      <c r="B11" s="3">
        <v>9.7222222222222224E-2</v>
      </c>
      <c r="D11">
        <v>2</v>
      </c>
      <c r="E11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085A-6E7F-4E6A-851F-E9B040BBD7D9}">
  <dimension ref="A1:L28"/>
  <sheetViews>
    <sheetView tabSelected="1" workbookViewId="0">
      <selection activeCell="F17" sqref="F17"/>
    </sheetView>
  </sheetViews>
  <sheetFormatPr defaultRowHeight="15" x14ac:dyDescent="0.25"/>
  <cols>
    <col min="6" max="6" width="27.5703125" customWidth="1"/>
    <col min="7" max="7" width="22.28515625" bestFit="1" customWidth="1"/>
    <col min="8" max="8" width="16.42578125" bestFit="1" customWidth="1"/>
    <col min="9" max="9" width="20.42578125" bestFit="1" customWidth="1"/>
    <col min="11" max="11" width="30.5703125" bestFit="1" customWidth="1"/>
    <col min="12" max="12" width="28.5703125" customWidth="1"/>
  </cols>
  <sheetData>
    <row r="1" spans="1:12" x14ac:dyDescent="0.25">
      <c r="A1" t="s">
        <v>6</v>
      </c>
      <c r="B1" t="s">
        <v>7</v>
      </c>
      <c r="C1" t="s">
        <v>8</v>
      </c>
      <c r="F1" t="s">
        <v>13</v>
      </c>
      <c r="G1" t="s">
        <v>10</v>
      </c>
      <c r="H1" t="s">
        <v>14</v>
      </c>
      <c r="I1" t="s">
        <v>11</v>
      </c>
      <c r="J1" t="s">
        <v>15</v>
      </c>
      <c r="K1" t="s">
        <v>12</v>
      </c>
      <c r="L1" t="s">
        <v>16</v>
      </c>
    </row>
    <row r="2" spans="1:12" x14ac:dyDescent="0.25">
      <c r="A2">
        <v>2901035</v>
      </c>
      <c r="B2">
        <v>6</v>
      </c>
      <c r="C2" s="2">
        <v>0.5</v>
      </c>
      <c r="F2">
        <v>3078</v>
      </c>
      <c r="G2">
        <v>2992</v>
      </c>
      <c r="H2" s="4">
        <f>G2/F2</f>
        <v>0.97205977907732288</v>
      </c>
      <c r="I2">
        <v>7933</v>
      </c>
      <c r="J2" s="2">
        <f>I2/G2</f>
        <v>2.651403743315508</v>
      </c>
      <c r="K2">
        <v>2834</v>
      </c>
      <c r="L2" s="4">
        <f>K2/I2</f>
        <v>0.35724190092020675</v>
      </c>
    </row>
    <row r="3" spans="1:12" ht="15.75" thickBot="1" x14ac:dyDescent="0.3">
      <c r="A3">
        <v>2901052</v>
      </c>
      <c r="B3">
        <v>6</v>
      </c>
      <c r="C3" s="2">
        <v>0.5</v>
      </c>
    </row>
    <row r="4" spans="1:12" ht="15.75" thickBot="1" x14ac:dyDescent="0.3">
      <c r="A4">
        <v>2901126</v>
      </c>
      <c r="B4">
        <v>7</v>
      </c>
      <c r="C4" s="2">
        <v>0.5714285714285714</v>
      </c>
      <c r="F4" s="5" t="s">
        <v>17</v>
      </c>
      <c r="G4" s="6">
        <v>3078</v>
      </c>
    </row>
    <row r="5" spans="1:12" ht="30" x14ac:dyDescent="0.25">
      <c r="A5">
        <v>2901206</v>
      </c>
      <c r="B5">
        <v>6</v>
      </c>
      <c r="C5" s="2">
        <v>0.66666666666666663</v>
      </c>
      <c r="F5" s="7" t="s">
        <v>18</v>
      </c>
      <c r="G5" s="8">
        <v>2992</v>
      </c>
    </row>
    <row r="6" spans="1:12" ht="30.75" thickBot="1" x14ac:dyDescent="0.3">
      <c r="A6">
        <v>2901531</v>
      </c>
      <c r="B6">
        <v>7</v>
      </c>
      <c r="C6" s="2">
        <v>0.7142857142857143</v>
      </c>
      <c r="F6" s="9" t="s">
        <v>19</v>
      </c>
      <c r="G6" s="10">
        <f>G5/G4</f>
        <v>0.97205977907732288</v>
      </c>
    </row>
    <row r="7" spans="1:12" x14ac:dyDescent="0.25">
      <c r="A7">
        <v>2901630</v>
      </c>
      <c r="B7">
        <v>6</v>
      </c>
      <c r="C7" s="2">
        <v>0.5</v>
      </c>
      <c r="F7" s="7" t="s">
        <v>11</v>
      </c>
      <c r="G7" s="8">
        <v>7933</v>
      </c>
    </row>
    <row r="8" spans="1:12" ht="30.75" thickBot="1" x14ac:dyDescent="0.3">
      <c r="A8">
        <v>2901645</v>
      </c>
      <c r="B8">
        <v>6</v>
      </c>
      <c r="C8" s="2">
        <v>0.5</v>
      </c>
      <c r="F8" s="9" t="s">
        <v>20</v>
      </c>
      <c r="G8" s="11">
        <f>G7/G4</f>
        <v>2.5773229369720596</v>
      </c>
    </row>
    <row r="9" spans="1:12" ht="30" x14ac:dyDescent="0.25">
      <c r="A9">
        <v>2901745</v>
      </c>
      <c r="B9">
        <v>6</v>
      </c>
      <c r="C9" s="2">
        <v>0.5</v>
      </c>
      <c r="F9" s="7" t="s">
        <v>12</v>
      </c>
      <c r="G9" s="8">
        <v>2834</v>
      </c>
    </row>
    <row r="10" spans="1:12" ht="30.75" thickBot="1" x14ac:dyDescent="0.3">
      <c r="A10">
        <v>2902090</v>
      </c>
      <c r="B10">
        <v>6</v>
      </c>
      <c r="C10" s="2">
        <v>0.5</v>
      </c>
      <c r="F10" s="9" t="s">
        <v>16</v>
      </c>
      <c r="G10" s="12">
        <f>G9/G7</f>
        <v>0.35724190092020675</v>
      </c>
    </row>
    <row r="11" spans="1:12" x14ac:dyDescent="0.25">
      <c r="A11">
        <v>2902158</v>
      </c>
      <c r="B11">
        <v>6</v>
      </c>
      <c r="C11" s="2">
        <v>0.5</v>
      </c>
    </row>
    <row r="12" spans="1:12" x14ac:dyDescent="0.25">
      <c r="A12">
        <v>2902165</v>
      </c>
      <c r="B12">
        <v>6</v>
      </c>
      <c r="C12" s="2">
        <v>0.5</v>
      </c>
    </row>
    <row r="13" spans="1:12" x14ac:dyDescent="0.25">
      <c r="A13">
        <v>2902166</v>
      </c>
      <c r="B13">
        <v>6</v>
      </c>
      <c r="C13" s="2">
        <v>0.66666666666666663</v>
      </c>
    </row>
    <row r="14" spans="1:12" x14ac:dyDescent="0.25">
      <c r="A14">
        <v>2902175</v>
      </c>
      <c r="B14">
        <v>6</v>
      </c>
      <c r="C14" s="2">
        <v>0.66666666666666663</v>
      </c>
    </row>
    <row r="15" spans="1:12" x14ac:dyDescent="0.25">
      <c r="A15">
        <v>2902402</v>
      </c>
      <c r="B15">
        <v>8</v>
      </c>
      <c r="C15" s="2">
        <v>0.5</v>
      </c>
    </row>
    <row r="16" spans="1:12" x14ac:dyDescent="0.25">
      <c r="A16">
        <v>2902464</v>
      </c>
      <c r="B16">
        <v>17</v>
      </c>
      <c r="C16" s="2">
        <v>0.52941176470588236</v>
      </c>
    </row>
    <row r="17" spans="1:3" x14ac:dyDescent="0.25">
      <c r="A17">
        <v>2902665</v>
      </c>
      <c r="B17">
        <v>7</v>
      </c>
      <c r="C17" s="2">
        <v>0.8571428571428571</v>
      </c>
    </row>
    <row r="18" spans="1:3" x14ac:dyDescent="0.25">
      <c r="A18">
        <v>2902753</v>
      </c>
      <c r="B18">
        <v>10</v>
      </c>
      <c r="C18" s="2">
        <v>0.5</v>
      </c>
    </row>
    <row r="19" spans="1:3" x14ac:dyDescent="0.25">
      <c r="A19">
        <v>2903199</v>
      </c>
      <c r="B19">
        <v>6</v>
      </c>
      <c r="C19" s="2">
        <v>0.5</v>
      </c>
    </row>
    <row r="20" spans="1:3" x14ac:dyDescent="0.25">
      <c r="A20">
        <v>2903205</v>
      </c>
      <c r="B20">
        <v>6</v>
      </c>
      <c r="C20" s="2">
        <v>0.83333333333333337</v>
      </c>
    </row>
    <row r="21" spans="1:3" x14ac:dyDescent="0.25">
      <c r="A21">
        <v>2903273</v>
      </c>
      <c r="B21">
        <v>6</v>
      </c>
      <c r="C21" s="2">
        <v>1</v>
      </c>
    </row>
    <row r="22" spans="1:3" x14ac:dyDescent="0.25">
      <c r="A22">
        <v>2903322</v>
      </c>
      <c r="B22">
        <v>11</v>
      </c>
      <c r="C22" s="2">
        <v>0.81818181818181823</v>
      </c>
    </row>
    <row r="23" spans="1:3" x14ac:dyDescent="0.25">
      <c r="A23">
        <v>2903326</v>
      </c>
      <c r="B23">
        <v>6</v>
      </c>
      <c r="C23" s="2">
        <v>0.5</v>
      </c>
    </row>
    <row r="24" spans="1:3" x14ac:dyDescent="0.25">
      <c r="A24">
        <v>2903421</v>
      </c>
      <c r="B24">
        <v>6</v>
      </c>
      <c r="C24" s="2">
        <v>1</v>
      </c>
    </row>
    <row r="25" spans="1:3" x14ac:dyDescent="0.25">
      <c r="A25">
        <v>2903634</v>
      </c>
      <c r="B25">
        <v>6</v>
      </c>
      <c r="C25" s="2">
        <v>0.66666666666666663</v>
      </c>
    </row>
    <row r="26" spans="1:3" x14ac:dyDescent="0.25">
      <c r="A26">
        <v>2903685</v>
      </c>
      <c r="B26">
        <v>6</v>
      </c>
      <c r="C26" s="2">
        <v>0.5</v>
      </c>
    </row>
    <row r="27" spans="1:3" x14ac:dyDescent="0.25">
      <c r="A27">
        <v>2903728</v>
      </c>
      <c r="B27">
        <v>8</v>
      </c>
      <c r="C27" s="2">
        <v>0.5</v>
      </c>
    </row>
    <row r="28" spans="1:3" x14ac:dyDescent="0.25">
      <c r="A28">
        <v>2903746</v>
      </c>
      <c r="B28">
        <v>6</v>
      </c>
      <c r="C28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Динамика регистраций</vt:lpstr>
      <vt:lpstr>Динамика кол-ва сессий</vt:lpstr>
      <vt:lpstr>Динаника ср.длительности сессии</vt:lpstr>
      <vt:lpstr>рез-ты реф.программы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Daniil Cherezov</cp:lastModifiedBy>
  <dcterms:created xsi:type="dcterms:W3CDTF">2025-10-22T09:13:03Z</dcterms:created>
  <dcterms:modified xsi:type="dcterms:W3CDTF">2025-10-27T22:33:25Z</dcterms:modified>
</cp:coreProperties>
</file>