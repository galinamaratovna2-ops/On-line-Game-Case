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re\OneDrive\Рабочий стол\ГХ_SkyPro\Основы SQL\SQL_Техзадание 1\"/>
    </mc:Choice>
  </mc:AlternateContent>
  <xr:revisionPtr revIDLastSave="0" documentId="13_ncr:1_{7BA11A01-1499-4CB0-AB47-C327992F618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MAU" sheetId="1" r:id="rId1"/>
    <sheet name="WAU" sheetId="2" r:id="rId2"/>
    <sheet name="DAU" sheetId="4" r:id="rId3"/>
    <sheet name="Overall" sheetId="3" r:id="rId4"/>
  </sheets>
  <calcPr calcId="181029"/>
</workbook>
</file>

<file path=xl/calcChain.xml><?xml version="1.0" encoding="utf-8"?>
<calcChain xmlns="http://schemas.openxmlformats.org/spreadsheetml/2006/main">
  <c r="K3" i="3" l="1"/>
  <c r="L3" i="3"/>
  <c r="K4" i="3"/>
  <c r="L4" i="3"/>
  <c r="K5" i="3"/>
  <c r="L5" i="3"/>
  <c r="K6" i="3"/>
  <c r="L6" i="3"/>
  <c r="K7" i="3"/>
  <c r="L7" i="3"/>
  <c r="K8" i="3"/>
  <c r="L8" i="3"/>
  <c r="K9" i="3"/>
  <c r="L9" i="3"/>
  <c r="K10" i="3"/>
  <c r="L10" i="3"/>
  <c r="K11" i="3"/>
  <c r="L11" i="3"/>
  <c r="K12" i="3"/>
  <c r="L12" i="3"/>
  <c r="K13" i="3"/>
  <c r="L13" i="3"/>
  <c r="K14" i="3"/>
  <c r="L14" i="3"/>
  <c r="K15" i="3"/>
  <c r="L15" i="3"/>
  <c r="K16" i="3"/>
  <c r="L16" i="3"/>
  <c r="K17" i="3"/>
  <c r="L17" i="3"/>
  <c r="K18" i="3"/>
  <c r="L18" i="3"/>
  <c r="K19" i="3"/>
  <c r="L19" i="3"/>
  <c r="K20" i="3"/>
  <c r="L20" i="3"/>
  <c r="K21" i="3"/>
  <c r="L21" i="3"/>
  <c r="K22" i="3"/>
  <c r="L22" i="3"/>
  <c r="K23" i="3"/>
  <c r="L23" i="3"/>
  <c r="K24" i="3"/>
  <c r="L24" i="3"/>
  <c r="K25" i="3"/>
  <c r="L25" i="3"/>
  <c r="K26" i="3"/>
  <c r="L26" i="3"/>
  <c r="K27" i="3"/>
  <c r="L27" i="3"/>
  <c r="K28" i="3"/>
  <c r="L28" i="3"/>
  <c r="K29" i="3"/>
  <c r="L29" i="3"/>
  <c r="K30" i="3"/>
  <c r="L30" i="3"/>
  <c r="K31" i="3"/>
  <c r="L31" i="3"/>
  <c r="K32" i="3"/>
  <c r="L32" i="3"/>
  <c r="K33" i="3"/>
  <c r="L33" i="3"/>
  <c r="K34" i="3"/>
  <c r="L34" i="3"/>
  <c r="K35" i="3"/>
  <c r="L35" i="3"/>
  <c r="K36" i="3"/>
  <c r="L36" i="3"/>
  <c r="K37" i="3"/>
  <c r="L37" i="3"/>
  <c r="K38" i="3"/>
  <c r="L38" i="3"/>
  <c r="K39" i="3"/>
  <c r="L39" i="3"/>
  <c r="K40" i="3"/>
  <c r="L40" i="3"/>
  <c r="K41" i="3"/>
  <c r="L41" i="3"/>
  <c r="K42" i="3"/>
  <c r="L42" i="3"/>
  <c r="K43" i="3"/>
  <c r="L43" i="3"/>
  <c r="K44" i="3"/>
  <c r="L44" i="3"/>
  <c r="K45" i="3"/>
  <c r="L45" i="3"/>
  <c r="K46" i="3"/>
  <c r="L46" i="3"/>
  <c r="K47" i="3"/>
  <c r="L47" i="3"/>
  <c r="K48" i="3"/>
  <c r="L48" i="3"/>
  <c r="K49" i="3"/>
  <c r="L49" i="3"/>
  <c r="K50" i="3"/>
  <c r="L50" i="3"/>
  <c r="K51" i="3"/>
  <c r="L51" i="3"/>
  <c r="K52" i="3"/>
  <c r="L52" i="3"/>
  <c r="K53" i="3"/>
  <c r="L53" i="3"/>
  <c r="K54" i="3"/>
  <c r="L54" i="3"/>
  <c r="K55" i="3"/>
  <c r="L55" i="3"/>
  <c r="K56" i="3"/>
  <c r="L56" i="3"/>
  <c r="K57" i="3"/>
  <c r="L57" i="3"/>
  <c r="K58" i="3"/>
  <c r="L58" i="3"/>
  <c r="K59" i="3"/>
  <c r="L59" i="3"/>
  <c r="K60" i="3"/>
  <c r="L60" i="3"/>
  <c r="K61" i="3"/>
  <c r="L61" i="3"/>
  <c r="K62" i="3"/>
  <c r="L62" i="3"/>
  <c r="K63" i="3"/>
  <c r="L63" i="3"/>
  <c r="K64" i="3"/>
  <c r="L64" i="3"/>
  <c r="K65" i="3"/>
  <c r="L65" i="3"/>
  <c r="K66" i="3"/>
  <c r="L66" i="3"/>
  <c r="K67" i="3"/>
  <c r="L67" i="3"/>
  <c r="K68" i="3"/>
  <c r="L68" i="3"/>
  <c r="K69" i="3"/>
  <c r="L69" i="3"/>
  <c r="K70" i="3"/>
  <c r="L70" i="3"/>
  <c r="K71" i="3"/>
  <c r="L71" i="3"/>
  <c r="K72" i="3"/>
  <c r="L72" i="3"/>
  <c r="K73" i="3"/>
  <c r="L73" i="3"/>
  <c r="K74" i="3"/>
  <c r="L74" i="3"/>
  <c r="K75" i="3"/>
  <c r="L75" i="3"/>
  <c r="K76" i="3"/>
  <c r="L76" i="3"/>
  <c r="K77" i="3"/>
  <c r="L77" i="3"/>
  <c r="K78" i="3"/>
  <c r="L78" i="3"/>
  <c r="K79" i="3"/>
  <c r="L79" i="3"/>
  <c r="K80" i="3"/>
  <c r="L80" i="3"/>
  <c r="K81" i="3"/>
  <c r="L81" i="3"/>
  <c r="K82" i="3"/>
  <c r="L82" i="3"/>
  <c r="K83" i="3"/>
  <c r="L83" i="3"/>
  <c r="K84" i="3"/>
  <c r="L84" i="3"/>
  <c r="K85" i="3"/>
  <c r="L85" i="3"/>
  <c r="K86" i="3"/>
  <c r="L86" i="3"/>
  <c r="K87" i="3"/>
  <c r="L87" i="3"/>
  <c r="K88" i="3"/>
  <c r="L88" i="3"/>
  <c r="K89" i="3"/>
  <c r="L89" i="3"/>
  <c r="K90" i="3"/>
  <c r="L90" i="3"/>
  <c r="K91" i="3"/>
  <c r="L91" i="3"/>
  <c r="K92" i="3"/>
  <c r="L92" i="3"/>
  <c r="K93" i="3"/>
  <c r="L93" i="3"/>
  <c r="K94" i="3"/>
  <c r="L94" i="3"/>
  <c r="K95" i="3"/>
  <c r="L95" i="3"/>
  <c r="K96" i="3"/>
  <c r="L96" i="3"/>
  <c r="K97" i="3"/>
  <c r="L97" i="3"/>
  <c r="K98" i="3"/>
  <c r="L98" i="3"/>
  <c r="K99" i="3"/>
  <c r="L99" i="3"/>
  <c r="K100" i="3"/>
  <c r="L100" i="3"/>
  <c r="K101" i="3"/>
  <c r="L101" i="3"/>
  <c r="K102" i="3"/>
  <c r="L102" i="3"/>
  <c r="K103" i="3"/>
  <c r="L103" i="3"/>
  <c r="K104" i="3"/>
  <c r="L104" i="3"/>
  <c r="K105" i="3"/>
  <c r="L105" i="3"/>
  <c r="K106" i="3"/>
  <c r="L106" i="3"/>
  <c r="K107" i="3"/>
  <c r="L107" i="3"/>
  <c r="K108" i="3"/>
  <c r="L108" i="3"/>
  <c r="K109" i="3"/>
  <c r="L109" i="3"/>
  <c r="K110" i="3"/>
  <c r="L110" i="3"/>
  <c r="K111" i="3"/>
  <c r="L111" i="3"/>
  <c r="K112" i="3"/>
  <c r="L112" i="3"/>
  <c r="K113" i="3"/>
  <c r="L113" i="3"/>
  <c r="K114" i="3"/>
  <c r="L114" i="3"/>
  <c r="K115" i="3"/>
  <c r="L115" i="3"/>
  <c r="K116" i="3"/>
  <c r="L116" i="3"/>
  <c r="K117" i="3"/>
  <c r="L117" i="3"/>
  <c r="K118" i="3"/>
  <c r="L118" i="3"/>
  <c r="K119" i="3"/>
  <c r="L119" i="3"/>
  <c r="K120" i="3"/>
  <c r="L120" i="3"/>
  <c r="K121" i="3"/>
  <c r="L121" i="3"/>
  <c r="K122" i="3"/>
  <c r="L122" i="3"/>
  <c r="K123" i="3"/>
  <c r="L123" i="3"/>
  <c r="K124" i="3"/>
  <c r="L124" i="3"/>
  <c r="K125" i="3"/>
  <c r="L125" i="3"/>
  <c r="K126" i="3"/>
  <c r="L126" i="3"/>
  <c r="K127" i="3"/>
  <c r="L127" i="3"/>
  <c r="K128" i="3"/>
  <c r="L128" i="3"/>
  <c r="K129" i="3"/>
  <c r="L129" i="3"/>
  <c r="K130" i="3"/>
  <c r="L130" i="3"/>
  <c r="K131" i="3"/>
  <c r="L131" i="3"/>
  <c r="K132" i="3"/>
  <c r="L132" i="3"/>
  <c r="K133" i="3"/>
  <c r="L133" i="3"/>
  <c r="K134" i="3"/>
  <c r="L134" i="3"/>
  <c r="K135" i="3"/>
  <c r="L135" i="3"/>
  <c r="K136" i="3"/>
  <c r="L136" i="3"/>
  <c r="K137" i="3"/>
  <c r="L137" i="3"/>
  <c r="K138" i="3"/>
  <c r="L138" i="3"/>
  <c r="K139" i="3"/>
  <c r="L139" i="3"/>
  <c r="K140" i="3"/>
  <c r="L140" i="3"/>
  <c r="K141" i="3"/>
  <c r="L141" i="3"/>
  <c r="K142" i="3"/>
  <c r="L142" i="3"/>
  <c r="K143" i="3"/>
  <c r="L143" i="3"/>
  <c r="K144" i="3"/>
  <c r="L144" i="3"/>
  <c r="K145" i="3"/>
  <c r="L145" i="3"/>
  <c r="K146" i="3"/>
  <c r="L146" i="3"/>
  <c r="K147" i="3"/>
  <c r="L147" i="3"/>
  <c r="K148" i="3"/>
  <c r="L148" i="3"/>
  <c r="K149" i="3"/>
  <c r="L149" i="3"/>
  <c r="K150" i="3"/>
  <c r="L150" i="3"/>
  <c r="K151" i="3"/>
  <c r="L151" i="3"/>
  <c r="K152" i="3"/>
  <c r="L152" i="3"/>
  <c r="K153" i="3"/>
  <c r="L153" i="3"/>
  <c r="K154" i="3"/>
  <c r="L154" i="3"/>
  <c r="K155" i="3"/>
  <c r="L155" i="3"/>
  <c r="K156" i="3"/>
  <c r="L156" i="3"/>
  <c r="K157" i="3"/>
  <c r="L157" i="3"/>
  <c r="K158" i="3"/>
  <c r="L158" i="3"/>
  <c r="K159" i="3"/>
  <c r="L159" i="3"/>
  <c r="K160" i="3"/>
  <c r="L160" i="3"/>
  <c r="K161" i="3"/>
  <c r="L161" i="3"/>
  <c r="K162" i="3"/>
  <c r="L162" i="3"/>
  <c r="K163" i="3"/>
  <c r="L163" i="3"/>
  <c r="K164" i="3"/>
  <c r="L164" i="3"/>
  <c r="K165" i="3"/>
  <c r="L165" i="3"/>
  <c r="K166" i="3"/>
  <c r="L166" i="3"/>
  <c r="K167" i="3"/>
  <c r="L167" i="3"/>
  <c r="K168" i="3"/>
  <c r="L168" i="3"/>
  <c r="K169" i="3"/>
  <c r="L169" i="3"/>
  <c r="K170" i="3"/>
  <c r="L170" i="3"/>
  <c r="K171" i="3"/>
  <c r="L171" i="3"/>
  <c r="K172" i="3"/>
  <c r="L172" i="3"/>
  <c r="K173" i="3"/>
  <c r="L173" i="3"/>
  <c r="K174" i="3"/>
  <c r="L174" i="3"/>
  <c r="K175" i="3"/>
  <c r="L175" i="3"/>
  <c r="K176" i="3"/>
  <c r="L176" i="3"/>
  <c r="K177" i="3"/>
  <c r="L177" i="3"/>
  <c r="K178" i="3"/>
  <c r="L178" i="3"/>
  <c r="K179" i="3"/>
  <c r="L179" i="3"/>
  <c r="K180" i="3"/>
  <c r="L180" i="3"/>
  <c r="K181" i="3"/>
  <c r="L181" i="3"/>
  <c r="K182" i="3"/>
  <c r="L182" i="3"/>
  <c r="K183" i="3"/>
  <c r="L183" i="3"/>
  <c r="K184" i="3"/>
  <c r="L184" i="3"/>
  <c r="K185" i="3"/>
  <c r="L185" i="3"/>
  <c r="K186" i="3"/>
  <c r="L186" i="3"/>
  <c r="K187" i="3"/>
  <c r="L187" i="3"/>
  <c r="K188" i="3"/>
  <c r="L188" i="3"/>
  <c r="K189" i="3"/>
  <c r="L189" i="3"/>
  <c r="K190" i="3"/>
  <c r="L190" i="3"/>
  <c r="K191" i="3"/>
  <c r="L191" i="3"/>
  <c r="K192" i="3"/>
  <c r="L192" i="3"/>
  <c r="K193" i="3"/>
  <c r="L193" i="3"/>
  <c r="K194" i="3"/>
  <c r="L194" i="3"/>
  <c r="K195" i="3"/>
  <c r="L195" i="3"/>
  <c r="K196" i="3"/>
  <c r="L196" i="3"/>
  <c r="K197" i="3"/>
  <c r="L197" i="3"/>
  <c r="K198" i="3"/>
  <c r="L198" i="3"/>
  <c r="K199" i="3"/>
  <c r="L199" i="3"/>
  <c r="K200" i="3"/>
  <c r="L200" i="3"/>
  <c r="K201" i="3"/>
  <c r="L201" i="3"/>
  <c r="K202" i="3"/>
  <c r="L202" i="3"/>
  <c r="K203" i="3"/>
  <c r="L203" i="3"/>
  <c r="K204" i="3"/>
  <c r="L204" i="3"/>
  <c r="K205" i="3"/>
  <c r="L205" i="3"/>
  <c r="K206" i="3"/>
  <c r="L206" i="3"/>
  <c r="K207" i="3"/>
  <c r="L207" i="3"/>
  <c r="K208" i="3"/>
  <c r="L208" i="3"/>
  <c r="K209" i="3"/>
  <c r="L209" i="3"/>
  <c r="K210" i="3"/>
  <c r="L210" i="3"/>
  <c r="K211" i="3"/>
  <c r="L211" i="3"/>
  <c r="K212" i="3"/>
  <c r="L212" i="3"/>
  <c r="K213" i="3"/>
  <c r="L213" i="3"/>
  <c r="K214" i="3"/>
  <c r="L214" i="3"/>
  <c r="K215" i="3"/>
  <c r="L215" i="3"/>
  <c r="K216" i="3"/>
  <c r="L216" i="3"/>
  <c r="K217" i="3"/>
  <c r="L217" i="3"/>
  <c r="K218" i="3"/>
  <c r="L218" i="3"/>
  <c r="K219" i="3"/>
  <c r="L219" i="3"/>
  <c r="K220" i="3"/>
  <c r="L220" i="3"/>
  <c r="K221" i="3"/>
  <c r="L221" i="3"/>
  <c r="K222" i="3"/>
  <c r="L222" i="3"/>
  <c r="K223" i="3"/>
  <c r="L223" i="3"/>
  <c r="K224" i="3"/>
  <c r="L224" i="3"/>
  <c r="K225" i="3"/>
  <c r="L225" i="3"/>
  <c r="K226" i="3"/>
  <c r="L226" i="3"/>
  <c r="K227" i="3"/>
  <c r="L227" i="3"/>
  <c r="K228" i="3"/>
  <c r="L228" i="3"/>
  <c r="K229" i="3"/>
  <c r="L229" i="3"/>
  <c r="K230" i="3"/>
  <c r="L230" i="3"/>
  <c r="K231" i="3"/>
  <c r="L231" i="3"/>
  <c r="K232" i="3"/>
  <c r="L232" i="3"/>
  <c r="K233" i="3"/>
  <c r="L233" i="3"/>
  <c r="K234" i="3"/>
  <c r="L234" i="3"/>
  <c r="K235" i="3"/>
  <c r="L235" i="3"/>
  <c r="K236" i="3"/>
  <c r="L236" i="3"/>
  <c r="K237" i="3"/>
  <c r="L237" i="3"/>
  <c r="K238" i="3"/>
  <c r="L238" i="3"/>
  <c r="K239" i="3"/>
  <c r="L239" i="3"/>
  <c r="K240" i="3"/>
  <c r="L240" i="3"/>
  <c r="K241" i="3"/>
  <c r="L241" i="3"/>
  <c r="K242" i="3"/>
  <c r="L242" i="3"/>
  <c r="K243" i="3"/>
  <c r="L243" i="3"/>
  <c r="K244" i="3"/>
  <c r="L244" i="3"/>
  <c r="K245" i="3"/>
  <c r="L245" i="3"/>
  <c r="K246" i="3"/>
  <c r="L246" i="3"/>
  <c r="K247" i="3"/>
  <c r="L247" i="3"/>
  <c r="K248" i="3"/>
  <c r="L248" i="3"/>
  <c r="K249" i="3"/>
  <c r="L249" i="3"/>
  <c r="K250" i="3"/>
  <c r="L250" i="3"/>
  <c r="K251" i="3"/>
  <c r="L251" i="3"/>
  <c r="K252" i="3"/>
  <c r="L252" i="3"/>
  <c r="K253" i="3"/>
  <c r="L253" i="3"/>
  <c r="K254" i="3"/>
  <c r="L254" i="3"/>
  <c r="K255" i="3"/>
  <c r="L255" i="3"/>
  <c r="K256" i="3"/>
  <c r="L256" i="3"/>
  <c r="K257" i="3"/>
  <c r="L257" i="3"/>
  <c r="K258" i="3"/>
  <c r="L258" i="3"/>
  <c r="K259" i="3"/>
  <c r="L259" i="3"/>
  <c r="K260" i="3"/>
  <c r="L260" i="3"/>
  <c r="K261" i="3"/>
  <c r="L261" i="3"/>
  <c r="K262" i="3"/>
  <c r="L262" i="3"/>
  <c r="K263" i="3"/>
  <c r="L263" i="3"/>
  <c r="K264" i="3"/>
  <c r="L264" i="3"/>
  <c r="K265" i="3"/>
  <c r="L265" i="3"/>
  <c r="K266" i="3"/>
  <c r="L266" i="3"/>
  <c r="K267" i="3"/>
  <c r="L267" i="3"/>
  <c r="K268" i="3"/>
  <c r="L268" i="3"/>
  <c r="K269" i="3"/>
  <c r="L269" i="3"/>
  <c r="K270" i="3"/>
  <c r="L270" i="3"/>
  <c r="K271" i="3"/>
  <c r="L271" i="3"/>
  <c r="K272" i="3"/>
  <c r="L272" i="3"/>
  <c r="K273" i="3"/>
  <c r="L273" i="3"/>
  <c r="K274" i="3"/>
  <c r="L274" i="3"/>
  <c r="K275" i="3"/>
  <c r="L275" i="3"/>
  <c r="K276" i="3"/>
  <c r="L276" i="3"/>
  <c r="K277" i="3"/>
  <c r="L277" i="3"/>
  <c r="K278" i="3"/>
  <c r="L278" i="3"/>
  <c r="K279" i="3"/>
  <c r="L279" i="3"/>
  <c r="K280" i="3"/>
  <c r="L280" i="3"/>
  <c r="K281" i="3"/>
  <c r="L281" i="3"/>
  <c r="K282" i="3"/>
  <c r="L282" i="3"/>
  <c r="K283" i="3"/>
  <c r="L283" i="3"/>
  <c r="K284" i="3"/>
  <c r="L284" i="3"/>
  <c r="K285" i="3"/>
  <c r="L285" i="3"/>
  <c r="K286" i="3"/>
  <c r="L286" i="3"/>
  <c r="K287" i="3"/>
  <c r="L287" i="3"/>
  <c r="K288" i="3"/>
  <c r="L288" i="3"/>
  <c r="K289" i="3"/>
  <c r="L289" i="3"/>
  <c r="K290" i="3"/>
  <c r="L290" i="3"/>
  <c r="K291" i="3"/>
  <c r="L291" i="3"/>
  <c r="K292" i="3"/>
  <c r="L292" i="3"/>
  <c r="K293" i="3"/>
  <c r="L293" i="3"/>
  <c r="K294" i="3"/>
  <c r="L294" i="3"/>
  <c r="K295" i="3"/>
  <c r="L295" i="3"/>
  <c r="K296" i="3"/>
  <c r="L296" i="3"/>
  <c r="K297" i="3"/>
  <c r="L297" i="3"/>
  <c r="K298" i="3"/>
  <c r="L298" i="3"/>
  <c r="K299" i="3"/>
  <c r="L299" i="3"/>
  <c r="K300" i="3"/>
  <c r="L300" i="3"/>
  <c r="K301" i="3"/>
  <c r="L301" i="3"/>
  <c r="K302" i="3"/>
  <c r="L302" i="3"/>
  <c r="K303" i="3"/>
  <c r="L303" i="3"/>
  <c r="K304" i="3"/>
  <c r="L304" i="3"/>
  <c r="K2" i="3"/>
  <c r="L2" i="3"/>
  <c r="AI3" i="3"/>
  <c r="AI4" i="3"/>
  <c r="AI5" i="3"/>
  <c r="AI6" i="3"/>
  <c r="AI7" i="3"/>
  <c r="AI8" i="3"/>
  <c r="AI9" i="3"/>
  <c r="AI10" i="3"/>
  <c r="AI11" i="3"/>
  <c r="AI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2" i="3"/>
  <c r="AG3" i="3"/>
  <c r="AH3" i="3" s="1"/>
  <c r="AJ3" i="3" s="1"/>
  <c r="AG4" i="3"/>
  <c r="AH4" i="3" s="1"/>
  <c r="AJ4" i="3" s="1"/>
  <c r="AG5" i="3"/>
  <c r="AH5" i="3" s="1"/>
  <c r="AJ5" i="3" s="1"/>
  <c r="AG6" i="3"/>
  <c r="AH6" i="3" s="1"/>
  <c r="AJ6" i="3" s="1"/>
  <c r="AG7" i="3"/>
  <c r="AH7" i="3" s="1"/>
  <c r="AJ7" i="3" s="1"/>
  <c r="AG8" i="3"/>
  <c r="AH8" i="3" s="1"/>
  <c r="AG9" i="3"/>
  <c r="AH9" i="3" s="1"/>
  <c r="AG10" i="3"/>
  <c r="AH10" i="3" s="1"/>
  <c r="AJ10" i="3" s="1"/>
  <c r="AG11" i="3"/>
  <c r="AH11" i="3" s="1"/>
  <c r="AJ11" i="3" s="1"/>
  <c r="AG2" i="3"/>
  <c r="AH2" i="3" s="1"/>
  <c r="AJ2" i="3" s="1"/>
  <c r="B3" i="3"/>
  <c r="C3" i="3" s="1"/>
  <c r="G3" i="3" s="1"/>
  <c r="J3" i="3" s="1"/>
  <c r="B4" i="3"/>
  <c r="C4" i="3" s="1"/>
  <c r="B5" i="3"/>
  <c r="C5" i="3" s="1"/>
  <c r="G5" i="3" s="1"/>
  <c r="J5" i="3" s="1"/>
  <c r="B6" i="3"/>
  <c r="C6" i="3" s="1"/>
  <c r="G6" i="3" s="1"/>
  <c r="B7" i="3"/>
  <c r="C7" i="3" s="1"/>
  <c r="G7" i="3" s="1"/>
  <c r="J7" i="3" s="1"/>
  <c r="B8" i="3"/>
  <c r="C8" i="3" s="1"/>
  <c r="G8" i="3" s="1"/>
  <c r="J8" i="3" s="1"/>
  <c r="B9" i="3"/>
  <c r="C9" i="3" s="1"/>
  <c r="B10" i="3"/>
  <c r="C10" i="3" s="1"/>
  <c r="B11" i="3"/>
  <c r="C11" i="3" s="1"/>
  <c r="G11" i="3" s="1"/>
  <c r="B12" i="3"/>
  <c r="C12" i="3" s="1"/>
  <c r="G12" i="3" s="1"/>
  <c r="B13" i="3"/>
  <c r="C13" i="3" s="1"/>
  <c r="B14" i="3"/>
  <c r="C14" i="3" s="1"/>
  <c r="B15" i="3"/>
  <c r="C15" i="3" s="1"/>
  <c r="G15" i="3" s="1"/>
  <c r="J15" i="3" s="1"/>
  <c r="B16" i="3"/>
  <c r="C16" i="3" s="1"/>
  <c r="B17" i="3"/>
  <c r="C17" i="3" s="1"/>
  <c r="G17" i="3" s="1"/>
  <c r="J17" i="3" s="1"/>
  <c r="B18" i="3"/>
  <c r="C18" i="3" s="1"/>
  <c r="G18" i="3" s="1"/>
  <c r="B19" i="3"/>
  <c r="C19" i="3" s="1"/>
  <c r="G19" i="3" s="1"/>
  <c r="J19" i="3" s="1"/>
  <c r="B20" i="3"/>
  <c r="C20" i="3" s="1"/>
  <c r="G20" i="3" s="1"/>
  <c r="J20" i="3" s="1"/>
  <c r="B21" i="3"/>
  <c r="C21" i="3" s="1"/>
  <c r="B22" i="3"/>
  <c r="C22" i="3" s="1"/>
  <c r="B23" i="3"/>
  <c r="C23" i="3" s="1"/>
  <c r="G23" i="3" s="1"/>
  <c r="J23" i="3" s="1"/>
  <c r="B24" i="3"/>
  <c r="C24" i="3" s="1"/>
  <c r="G24" i="3" s="1"/>
  <c r="B25" i="3"/>
  <c r="C25" i="3" s="1"/>
  <c r="B26" i="3"/>
  <c r="C26" i="3" s="1"/>
  <c r="B27" i="3"/>
  <c r="C27" i="3" s="1"/>
  <c r="G27" i="3" s="1"/>
  <c r="J27" i="3" s="1"/>
  <c r="B28" i="3"/>
  <c r="C28" i="3" s="1"/>
  <c r="B29" i="3"/>
  <c r="C29" i="3" s="1"/>
  <c r="G29" i="3" s="1"/>
  <c r="J29" i="3" s="1"/>
  <c r="B30" i="3"/>
  <c r="C30" i="3" s="1"/>
  <c r="G30" i="3" s="1"/>
  <c r="J30" i="3" s="1"/>
  <c r="B31" i="3"/>
  <c r="C31" i="3" s="1"/>
  <c r="G31" i="3" s="1"/>
  <c r="J31" i="3" s="1"/>
  <c r="B32" i="3"/>
  <c r="C32" i="3" s="1"/>
  <c r="G32" i="3" s="1"/>
  <c r="B33" i="3"/>
  <c r="C33" i="3" s="1"/>
  <c r="B34" i="3"/>
  <c r="C34" i="3" s="1"/>
  <c r="B35" i="3"/>
  <c r="C35" i="3" s="1"/>
  <c r="G35" i="3" s="1"/>
  <c r="B36" i="3"/>
  <c r="C36" i="3" s="1"/>
  <c r="G36" i="3" s="1"/>
  <c r="B37" i="3"/>
  <c r="C37" i="3" s="1"/>
  <c r="B38" i="3"/>
  <c r="C38" i="3" s="1"/>
  <c r="B39" i="3"/>
  <c r="C39" i="3" s="1"/>
  <c r="G39" i="3" s="1"/>
  <c r="B40" i="3"/>
  <c r="C40" i="3" s="1"/>
  <c r="B41" i="3"/>
  <c r="C41" i="3" s="1"/>
  <c r="G41" i="3" s="1"/>
  <c r="B42" i="3"/>
  <c r="C42" i="3" s="1"/>
  <c r="G42" i="3" s="1"/>
  <c r="B43" i="3"/>
  <c r="C43" i="3" s="1"/>
  <c r="G43" i="3" s="1"/>
  <c r="B44" i="3"/>
  <c r="C44" i="3" s="1"/>
  <c r="G44" i="3" s="1"/>
  <c r="B45" i="3"/>
  <c r="C45" i="3" s="1"/>
  <c r="B46" i="3"/>
  <c r="C46" i="3" s="1"/>
  <c r="B47" i="3"/>
  <c r="C47" i="3" s="1"/>
  <c r="G47" i="3" s="1"/>
  <c r="B48" i="3"/>
  <c r="C48" i="3" s="1"/>
  <c r="G48" i="3" s="1"/>
  <c r="B49" i="3"/>
  <c r="C49" i="3" s="1"/>
  <c r="B50" i="3"/>
  <c r="C50" i="3" s="1"/>
  <c r="B51" i="3"/>
  <c r="C51" i="3" s="1"/>
  <c r="G51" i="3" s="1"/>
  <c r="B52" i="3"/>
  <c r="C52" i="3" s="1"/>
  <c r="B53" i="3"/>
  <c r="C53" i="3" s="1"/>
  <c r="G53" i="3" s="1"/>
  <c r="B54" i="3"/>
  <c r="C54" i="3" s="1"/>
  <c r="G54" i="3" s="1"/>
  <c r="B55" i="3"/>
  <c r="C55" i="3" s="1"/>
  <c r="G55" i="3" s="1"/>
  <c r="B56" i="3"/>
  <c r="C56" i="3" s="1"/>
  <c r="G56" i="3" s="1"/>
  <c r="B57" i="3"/>
  <c r="C57" i="3" s="1"/>
  <c r="B58" i="3"/>
  <c r="C58" i="3" s="1"/>
  <c r="B59" i="3"/>
  <c r="C59" i="3" s="1"/>
  <c r="G59" i="3" s="1"/>
  <c r="B60" i="3"/>
  <c r="C60" i="3" s="1"/>
  <c r="G60" i="3" s="1"/>
  <c r="B61" i="3"/>
  <c r="C61" i="3" s="1"/>
  <c r="B62" i="3"/>
  <c r="C62" i="3" s="1"/>
  <c r="B63" i="3"/>
  <c r="C63" i="3" s="1"/>
  <c r="G63" i="3" s="1"/>
  <c r="B64" i="3"/>
  <c r="C64" i="3" s="1"/>
  <c r="B65" i="3"/>
  <c r="C65" i="3" s="1"/>
  <c r="G65" i="3" s="1"/>
  <c r="B66" i="3"/>
  <c r="C66" i="3" s="1"/>
  <c r="G66" i="3" s="1"/>
  <c r="B67" i="3"/>
  <c r="C67" i="3" s="1"/>
  <c r="G67" i="3" s="1"/>
  <c r="B68" i="3"/>
  <c r="C68" i="3" s="1"/>
  <c r="G68" i="3" s="1"/>
  <c r="B69" i="3"/>
  <c r="C69" i="3" s="1"/>
  <c r="B70" i="3"/>
  <c r="C70" i="3" s="1"/>
  <c r="B71" i="3"/>
  <c r="C71" i="3" s="1"/>
  <c r="G71" i="3" s="1"/>
  <c r="B72" i="3"/>
  <c r="C72" i="3" s="1"/>
  <c r="G72" i="3" s="1"/>
  <c r="B73" i="3"/>
  <c r="C73" i="3" s="1"/>
  <c r="B74" i="3"/>
  <c r="C74" i="3" s="1"/>
  <c r="B75" i="3"/>
  <c r="C75" i="3" s="1"/>
  <c r="G75" i="3" s="1"/>
  <c r="B76" i="3"/>
  <c r="C76" i="3" s="1"/>
  <c r="B77" i="3"/>
  <c r="C77" i="3" s="1"/>
  <c r="G77" i="3" s="1"/>
  <c r="B78" i="3"/>
  <c r="C78" i="3" s="1"/>
  <c r="G78" i="3" s="1"/>
  <c r="B79" i="3"/>
  <c r="C79" i="3" s="1"/>
  <c r="G79" i="3" s="1"/>
  <c r="B80" i="3"/>
  <c r="C80" i="3" s="1"/>
  <c r="G80" i="3" s="1"/>
  <c r="B81" i="3"/>
  <c r="C81" i="3" s="1"/>
  <c r="B82" i="3"/>
  <c r="C82" i="3" s="1"/>
  <c r="B83" i="3"/>
  <c r="C83" i="3" s="1"/>
  <c r="G83" i="3" s="1"/>
  <c r="B84" i="3"/>
  <c r="C84" i="3" s="1"/>
  <c r="G84" i="3" s="1"/>
  <c r="B85" i="3"/>
  <c r="C85" i="3" s="1"/>
  <c r="B86" i="3"/>
  <c r="C86" i="3" s="1"/>
  <c r="B87" i="3"/>
  <c r="C87" i="3" s="1"/>
  <c r="G87" i="3" s="1"/>
  <c r="B88" i="3"/>
  <c r="C88" i="3" s="1"/>
  <c r="B89" i="3"/>
  <c r="C89" i="3" s="1"/>
  <c r="G89" i="3" s="1"/>
  <c r="B90" i="3"/>
  <c r="C90" i="3" s="1"/>
  <c r="G90" i="3" s="1"/>
  <c r="B91" i="3"/>
  <c r="C91" i="3" s="1"/>
  <c r="G91" i="3" s="1"/>
  <c r="B92" i="3"/>
  <c r="C92" i="3" s="1"/>
  <c r="G92" i="3" s="1"/>
  <c r="B93" i="3"/>
  <c r="C93" i="3" s="1"/>
  <c r="B94" i="3"/>
  <c r="C94" i="3" s="1"/>
  <c r="B95" i="3"/>
  <c r="C95" i="3" s="1"/>
  <c r="G95" i="3" s="1"/>
  <c r="B96" i="3"/>
  <c r="C96" i="3" s="1"/>
  <c r="G96" i="3" s="1"/>
  <c r="B97" i="3"/>
  <c r="C97" i="3" s="1"/>
  <c r="B98" i="3"/>
  <c r="C98" i="3" s="1"/>
  <c r="B99" i="3"/>
  <c r="C99" i="3" s="1"/>
  <c r="G99" i="3" s="1"/>
  <c r="B100" i="3"/>
  <c r="C100" i="3" s="1"/>
  <c r="B101" i="3"/>
  <c r="C101" i="3" s="1"/>
  <c r="G101" i="3" s="1"/>
  <c r="B102" i="3"/>
  <c r="C102" i="3" s="1"/>
  <c r="G102" i="3" s="1"/>
  <c r="B103" i="3"/>
  <c r="C103" i="3" s="1"/>
  <c r="G103" i="3" s="1"/>
  <c r="B104" i="3"/>
  <c r="C104" i="3" s="1"/>
  <c r="G104" i="3" s="1"/>
  <c r="B105" i="3"/>
  <c r="C105" i="3" s="1"/>
  <c r="B106" i="3"/>
  <c r="C106" i="3" s="1"/>
  <c r="B107" i="3"/>
  <c r="C107" i="3" s="1"/>
  <c r="G107" i="3" s="1"/>
  <c r="B108" i="3"/>
  <c r="C108" i="3" s="1"/>
  <c r="G108" i="3" s="1"/>
  <c r="B109" i="3"/>
  <c r="C109" i="3" s="1"/>
  <c r="B110" i="3"/>
  <c r="C110" i="3" s="1"/>
  <c r="B111" i="3"/>
  <c r="C111" i="3" s="1"/>
  <c r="G111" i="3" s="1"/>
  <c r="B112" i="3"/>
  <c r="C112" i="3" s="1"/>
  <c r="B113" i="3"/>
  <c r="C113" i="3" s="1"/>
  <c r="G113" i="3" s="1"/>
  <c r="B114" i="3"/>
  <c r="C114" i="3" s="1"/>
  <c r="G114" i="3" s="1"/>
  <c r="B115" i="3"/>
  <c r="C115" i="3" s="1"/>
  <c r="G115" i="3" s="1"/>
  <c r="B116" i="3"/>
  <c r="C116" i="3" s="1"/>
  <c r="G116" i="3" s="1"/>
  <c r="B117" i="3"/>
  <c r="C117" i="3" s="1"/>
  <c r="B118" i="3"/>
  <c r="C118" i="3" s="1"/>
  <c r="B119" i="3"/>
  <c r="C119" i="3" s="1"/>
  <c r="G119" i="3" s="1"/>
  <c r="B120" i="3"/>
  <c r="C120" i="3" s="1"/>
  <c r="G120" i="3" s="1"/>
  <c r="B121" i="3"/>
  <c r="C121" i="3" s="1"/>
  <c r="B122" i="3"/>
  <c r="C122" i="3" s="1"/>
  <c r="B123" i="3"/>
  <c r="C123" i="3" s="1"/>
  <c r="G123" i="3" s="1"/>
  <c r="B124" i="3"/>
  <c r="C124" i="3" s="1"/>
  <c r="B125" i="3"/>
  <c r="C125" i="3" s="1"/>
  <c r="G125" i="3" s="1"/>
  <c r="B126" i="3"/>
  <c r="C126" i="3" s="1"/>
  <c r="G126" i="3" s="1"/>
  <c r="B127" i="3"/>
  <c r="C127" i="3" s="1"/>
  <c r="G127" i="3" s="1"/>
  <c r="B128" i="3"/>
  <c r="C128" i="3" s="1"/>
  <c r="G128" i="3" s="1"/>
  <c r="B129" i="3"/>
  <c r="C129" i="3" s="1"/>
  <c r="B130" i="3"/>
  <c r="C130" i="3" s="1"/>
  <c r="B131" i="3"/>
  <c r="C131" i="3" s="1"/>
  <c r="G131" i="3" s="1"/>
  <c r="B132" i="3"/>
  <c r="C132" i="3" s="1"/>
  <c r="G132" i="3" s="1"/>
  <c r="B133" i="3"/>
  <c r="C133" i="3" s="1"/>
  <c r="B134" i="3"/>
  <c r="C134" i="3" s="1"/>
  <c r="B135" i="3"/>
  <c r="C135" i="3" s="1"/>
  <c r="G135" i="3" s="1"/>
  <c r="B136" i="3"/>
  <c r="C136" i="3" s="1"/>
  <c r="B137" i="3"/>
  <c r="C137" i="3" s="1"/>
  <c r="G137" i="3" s="1"/>
  <c r="B138" i="3"/>
  <c r="C138" i="3" s="1"/>
  <c r="G138" i="3" s="1"/>
  <c r="B139" i="3"/>
  <c r="C139" i="3" s="1"/>
  <c r="G139" i="3" s="1"/>
  <c r="B140" i="3"/>
  <c r="C140" i="3" s="1"/>
  <c r="G140" i="3" s="1"/>
  <c r="B141" i="3"/>
  <c r="C141" i="3" s="1"/>
  <c r="B142" i="3"/>
  <c r="C142" i="3" s="1"/>
  <c r="B143" i="3"/>
  <c r="C143" i="3" s="1"/>
  <c r="G143" i="3" s="1"/>
  <c r="B144" i="3"/>
  <c r="C144" i="3" s="1"/>
  <c r="G144" i="3" s="1"/>
  <c r="B145" i="3"/>
  <c r="C145" i="3" s="1"/>
  <c r="B146" i="3"/>
  <c r="C146" i="3" s="1"/>
  <c r="B147" i="3"/>
  <c r="C147" i="3" s="1"/>
  <c r="G147" i="3" s="1"/>
  <c r="B148" i="3"/>
  <c r="C148" i="3" s="1"/>
  <c r="B149" i="3"/>
  <c r="C149" i="3" s="1"/>
  <c r="G149" i="3" s="1"/>
  <c r="B150" i="3"/>
  <c r="C150" i="3" s="1"/>
  <c r="G150" i="3" s="1"/>
  <c r="B151" i="3"/>
  <c r="C151" i="3" s="1"/>
  <c r="G151" i="3" s="1"/>
  <c r="B152" i="3"/>
  <c r="C152" i="3" s="1"/>
  <c r="G152" i="3" s="1"/>
  <c r="B153" i="3"/>
  <c r="C153" i="3" s="1"/>
  <c r="B154" i="3"/>
  <c r="C154" i="3" s="1"/>
  <c r="B155" i="3"/>
  <c r="C155" i="3" s="1"/>
  <c r="G155" i="3" s="1"/>
  <c r="B156" i="3"/>
  <c r="C156" i="3" s="1"/>
  <c r="G156" i="3" s="1"/>
  <c r="B157" i="3"/>
  <c r="C157" i="3" s="1"/>
  <c r="B158" i="3"/>
  <c r="C158" i="3" s="1"/>
  <c r="B159" i="3"/>
  <c r="C159" i="3" s="1"/>
  <c r="G159" i="3" s="1"/>
  <c r="B160" i="3"/>
  <c r="C160" i="3" s="1"/>
  <c r="B161" i="3"/>
  <c r="C161" i="3" s="1"/>
  <c r="G161" i="3" s="1"/>
  <c r="B162" i="3"/>
  <c r="C162" i="3" s="1"/>
  <c r="G162" i="3" s="1"/>
  <c r="B163" i="3"/>
  <c r="C163" i="3" s="1"/>
  <c r="G163" i="3" s="1"/>
  <c r="B164" i="3"/>
  <c r="C164" i="3" s="1"/>
  <c r="G164" i="3" s="1"/>
  <c r="B165" i="3"/>
  <c r="C165" i="3" s="1"/>
  <c r="B166" i="3"/>
  <c r="C166" i="3" s="1"/>
  <c r="B167" i="3"/>
  <c r="C167" i="3" s="1"/>
  <c r="G167" i="3" s="1"/>
  <c r="B168" i="3"/>
  <c r="C168" i="3" s="1"/>
  <c r="G168" i="3" s="1"/>
  <c r="B169" i="3"/>
  <c r="C169" i="3" s="1"/>
  <c r="B170" i="3"/>
  <c r="C170" i="3" s="1"/>
  <c r="B171" i="3"/>
  <c r="C171" i="3" s="1"/>
  <c r="G171" i="3" s="1"/>
  <c r="B172" i="3"/>
  <c r="C172" i="3" s="1"/>
  <c r="B173" i="3"/>
  <c r="C173" i="3" s="1"/>
  <c r="G173" i="3" s="1"/>
  <c r="B174" i="3"/>
  <c r="C174" i="3" s="1"/>
  <c r="G174" i="3" s="1"/>
  <c r="B175" i="3"/>
  <c r="C175" i="3" s="1"/>
  <c r="G175" i="3" s="1"/>
  <c r="B176" i="3"/>
  <c r="C176" i="3" s="1"/>
  <c r="G176" i="3" s="1"/>
  <c r="B177" i="3"/>
  <c r="C177" i="3" s="1"/>
  <c r="B178" i="3"/>
  <c r="C178" i="3" s="1"/>
  <c r="B179" i="3"/>
  <c r="C179" i="3" s="1"/>
  <c r="G179" i="3" s="1"/>
  <c r="B180" i="3"/>
  <c r="C180" i="3" s="1"/>
  <c r="G180" i="3" s="1"/>
  <c r="B181" i="3"/>
  <c r="C181" i="3" s="1"/>
  <c r="B182" i="3"/>
  <c r="C182" i="3" s="1"/>
  <c r="B183" i="3"/>
  <c r="C183" i="3" s="1"/>
  <c r="G183" i="3" s="1"/>
  <c r="B184" i="3"/>
  <c r="C184" i="3" s="1"/>
  <c r="B185" i="3"/>
  <c r="C185" i="3" s="1"/>
  <c r="G185" i="3" s="1"/>
  <c r="B186" i="3"/>
  <c r="C186" i="3" s="1"/>
  <c r="G186" i="3" s="1"/>
  <c r="B187" i="3"/>
  <c r="C187" i="3" s="1"/>
  <c r="G187" i="3" s="1"/>
  <c r="B188" i="3"/>
  <c r="C188" i="3" s="1"/>
  <c r="G188" i="3" s="1"/>
  <c r="B189" i="3"/>
  <c r="C189" i="3" s="1"/>
  <c r="B190" i="3"/>
  <c r="C190" i="3" s="1"/>
  <c r="B191" i="3"/>
  <c r="C191" i="3" s="1"/>
  <c r="G191" i="3" s="1"/>
  <c r="B192" i="3"/>
  <c r="C192" i="3" s="1"/>
  <c r="G192" i="3" s="1"/>
  <c r="B193" i="3"/>
  <c r="C193" i="3" s="1"/>
  <c r="B194" i="3"/>
  <c r="C194" i="3" s="1"/>
  <c r="B195" i="3"/>
  <c r="C195" i="3" s="1"/>
  <c r="G195" i="3" s="1"/>
  <c r="B196" i="3"/>
  <c r="C196" i="3" s="1"/>
  <c r="B197" i="3"/>
  <c r="C197" i="3" s="1"/>
  <c r="G197" i="3" s="1"/>
  <c r="B198" i="3"/>
  <c r="C198" i="3" s="1"/>
  <c r="G198" i="3" s="1"/>
  <c r="B199" i="3"/>
  <c r="C199" i="3" s="1"/>
  <c r="G199" i="3" s="1"/>
  <c r="B200" i="3"/>
  <c r="C200" i="3" s="1"/>
  <c r="G200" i="3" s="1"/>
  <c r="B201" i="3"/>
  <c r="C201" i="3" s="1"/>
  <c r="B202" i="3"/>
  <c r="C202" i="3" s="1"/>
  <c r="B203" i="3"/>
  <c r="C203" i="3" s="1"/>
  <c r="G203" i="3" s="1"/>
  <c r="B204" i="3"/>
  <c r="C204" i="3" s="1"/>
  <c r="G204" i="3" s="1"/>
  <c r="B205" i="3"/>
  <c r="C205" i="3" s="1"/>
  <c r="B206" i="3"/>
  <c r="C206" i="3" s="1"/>
  <c r="B207" i="3"/>
  <c r="C207" i="3" s="1"/>
  <c r="G207" i="3" s="1"/>
  <c r="B208" i="3"/>
  <c r="C208" i="3" s="1"/>
  <c r="B209" i="3"/>
  <c r="C209" i="3" s="1"/>
  <c r="G209" i="3" s="1"/>
  <c r="B210" i="3"/>
  <c r="C210" i="3" s="1"/>
  <c r="G210" i="3" s="1"/>
  <c r="B211" i="3"/>
  <c r="C211" i="3" s="1"/>
  <c r="G211" i="3" s="1"/>
  <c r="B212" i="3"/>
  <c r="C212" i="3" s="1"/>
  <c r="G212" i="3" s="1"/>
  <c r="B213" i="3"/>
  <c r="C213" i="3" s="1"/>
  <c r="B214" i="3"/>
  <c r="C214" i="3" s="1"/>
  <c r="B215" i="3"/>
  <c r="C215" i="3" s="1"/>
  <c r="G215" i="3" s="1"/>
  <c r="B216" i="3"/>
  <c r="C216" i="3" s="1"/>
  <c r="G216" i="3" s="1"/>
  <c r="B217" i="3"/>
  <c r="C217" i="3" s="1"/>
  <c r="B218" i="3"/>
  <c r="C218" i="3" s="1"/>
  <c r="B219" i="3"/>
  <c r="C219" i="3" s="1"/>
  <c r="G219" i="3" s="1"/>
  <c r="B220" i="3"/>
  <c r="C220" i="3" s="1"/>
  <c r="B221" i="3"/>
  <c r="C221" i="3" s="1"/>
  <c r="G221" i="3" s="1"/>
  <c r="B222" i="3"/>
  <c r="C222" i="3" s="1"/>
  <c r="G222" i="3" s="1"/>
  <c r="B223" i="3"/>
  <c r="C223" i="3" s="1"/>
  <c r="G223" i="3" s="1"/>
  <c r="B224" i="3"/>
  <c r="C224" i="3" s="1"/>
  <c r="G224" i="3" s="1"/>
  <c r="B225" i="3"/>
  <c r="C225" i="3" s="1"/>
  <c r="B226" i="3"/>
  <c r="C226" i="3" s="1"/>
  <c r="B227" i="3"/>
  <c r="C227" i="3" s="1"/>
  <c r="G227" i="3" s="1"/>
  <c r="B228" i="3"/>
  <c r="C228" i="3" s="1"/>
  <c r="G228" i="3" s="1"/>
  <c r="B229" i="3"/>
  <c r="C229" i="3" s="1"/>
  <c r="B230" i="3"/>
  <c r="C230" i="3" s="1"/>
  <c r="B231" i="3"/>
  <c r="C231" i="3" s="1"/>
  <c r="G231" i="3" s="1"/>
  <c r="B232" i="3"/>
  <c r="C232" i="3" s="1"/>
  <c r="B233" i="3"/>
  <c r="C233" i="3" s="1"/>
  <c r="G233" i="3" s="1"/>
  <c r="B234" i="3"/>
  <c r="C234" i="3" s="1"/>
  <c r="G234" i="3" s="1"/>
  <c r="B235" i="3"/>
  <c r="C235" i="3" s="1"/>
  <c r="G235" i="3" s="1"/>
  <c r="B236" i="3"/>
  <c r="C236" i="3" s="1"/>
  <c r="G236" i="3" s="1"/>
  <c r="B237" i="3"/>
  <c r="C237" i="3" s="1"/>
  <c r="B238" i="3"/>
  <c r="C238" i="3" s="1"/>
  <c r="B239" i="3"/>
  <c r="C239" i="3" s="1"/>
  <c r="G239" i="3" s="1"/>
  <c r="B240" i="3"/>
  <c r="C240" i="3" s="1"/>
  <c r="G240" i="3" s="1"/>
  <c r="B241" i="3"/>
  <c r="C241" i="3" s="1"/>
  <c r="B242" i="3"/>
  <c r="C242" i="3" s="1"/>
  <c r="B243" i="3"/>
  <c r="C243" i="3" s="1"/>
  <c r="G243" i="3" s="1"/>
  <c r="B244" i="3"/>
  <c r="C244" i="3" s="1"/>
  <c r="B245" i="3"/>
  <c r="C245" i="3" s="1"/>
  <c r="G245" i="3" s="1"/>
  <c r="B246" i="3"/>
  <c r="C246" i="3" s="1"/>
  <c r="G246" i="3" s="1"/>
  <c r="B247" i="3"/>
  <c r="C247" i="3" s="1"/>
  <c r="G247" i="3" s="1"/>
  <c r="B248" i="3"/>
  <c r="C248" i="3" s="1"/>
  <c r="G248" i="3" s="1"/>
  <c r="B249" i="3"/>
  <c r="C249" i="3" s="1"/>
  <c r="B250" i="3"/>
  <c r="C250" i="3" s="1"/>
  <c r="B251" i="3"/>
  <c r="C251" i="3" s="1"/>
  <c r="G251" i="3" s="1"/>
  <c r="B252" i="3"/>
  <c r="C252" i="3" s="1"/>
  <c r="G252" i="3" s="1"/>
  <c r="B253" i="3"/>
  <c r="C253" i="3" s="1"/>
  <c r="B254" i="3"/>
  <c r="C254" i="3" s="1"/>
  <c r="B255" i="3"/>
  <c r="C255" i="3" s="1"/>
  <c r="G255" i="3" s="1"/>
  <c r="B256" i="3"/>
  <c r="C256" i="3" s="1"/>
  <c r="B257" i="3"/>
  <c r="C257" i="3" s="1"/>
  <c r="G257" i="3" s="1"/>
  <c r="B258" i="3"/>
  <c r="C258" i="3" s="1"/>
  <c r="G258" i="3" s="1"/>
  <c r="B259" i="3"/>
  <c r="C259" i="3" s="1"/>
  <c r="G259" i="3" s="1"/>
  <c r="B260" i="3"/>
  <c r="C260" i="3" s="1"/>
  <c r="G260" i="3" s="1"/>
  <c r="B261" i="3"/>
  <c r="C261" i="3" s="1"/>
  <c r="B262" i="3"/>
  <c r="C262" i="3" s="1"/>
  <c r="B263" i="3"/>
  <c r="C263" i="3" s="1"/>
  <c r="G263" i="3" s="1"/>
  <c r="B264" i="3"/>
  <c r="C264" i="3" s="1"/>
  <c r="G264" i="3" s="1"/>
  <c r="B265" i="3"/>
  <c r="C265" i="3" s="1"/>
  <c r="B266" i="3"/>
  <c r="C266" i="3" s="1"/>
  <c r="B267" i="3"/>
  <c r="C267" i="3" s="1"/>
  <c r="G267" i="3" s="1"/>
  <c r="B268" i="3"/>
  <c r="C268" i="3" s="1"/>
  <c r="B269" i="3"/>
  <c r="C269" i="3" s="1"/>
  <c r="G269" i="3" s="1"/>
  <c r="B270" i="3"/>
  <c r="C270" i="3" s="1"/>
  <c r="G270" i="3" s="1"/>
  <c r="B271" i="3"/>
  <c r="C271" i="3" s="1"/>
  <c r="G271" i="3" s="1"/>
  <c r="B272" i="3"/>
  <c r="C272" i="3" s="1"/>
  <c r="G272" i="3" s="1"/>
  <c r="B273" i="3"/>
  <c r="C273" i="3" s="1"/>
  <c r="B274" i="3"/>
  <c r="C274" i="3" s="1"/>
  <c r="B275" i="3"/>
  <c r="C275" i="3" s="1"/>
  <c r="G275" i="3" s="1"/>
  <c r="B276" i="3"/>
  <c r="C276" i="3" s="1"/>
  <c r="G276" i="3" s="1"/>
  <c r="B277" i="3"/>
  <c r="C277" i="3" s="1"/>
  <c r="B278" i="3"/>
  <c r="C278" i="3" s="1"/>
  <c r="B279" i="3"/>
  <c r="C279" i="3" s="1"/>
  <c r="G279" i="3" s="1"/>
  <c r="B280" i="3"/>
  <c r="C280" i="3" s="1"/>
  <c r="B281" i="3"/>
  <c r="C281" i="3" s="1"/>
  <c r="G281" i="3" s="1"/>
  <c r="B282" i="3"/>
  <c r="C282" i="3" s="1"/>
  <c r="G282" i="3" s="1"/>
  <c r="B283" i="3"/>
  <c r="C283" i="3" s="1"/>
  <c r="G283" i="3" s="1"/>
  <c r="B284" i="3"/>
  <c r="C284" i="3" s="1"/>
  <c r="G284" i="3" s="1"/>
  <c r="B285" i="3"/>
  <c r="C285" i="3" s="1"/>
  <c r="B286" i="3"/>
  <c r="C286" i="3" s="1"/>
  <c r="B287" i="3"/>
  <c r="C287" i="3" s="1"/>
  <c r="G287" i="3" s="1"/>
  <c r="B288" i="3"/>
  <c r="C288" i="3" s="1"/>
  <c r="G288" i="3" s="1"/>
  <c r="B289" i="3"/>
  <c r="C289" i="3" s="1"/>
  <c r="B290" i="3"/>
  <c r="C290" i="3" s="1"/>
  <c r="B291" i="3"/>
  <c r="C291" i="3" s="1"/>
  <c r="G291" i="3" s="1"/>
  <c r="B292" i="3"/>
  <c r="C292" i="3" s="1"/>
  <c r="B293" i="3"/>
  <c r="C293" i="3" s="1"/>
  <c r="G293" i="3" s="1"/>
  <c r="B294" i="3"/>
  <c r="C294" i="3" s="1"/>
  <c r="G294" i="3" s="1"/>
  <c r="B295" i="3"/>
  <c r="C295" i="3" s="1"/>
  <c r="G295" i="3" s="1"/>
  <c r="B296" i="3"/>
  <c r="C296" i="3" s="1"/>
  <c r="G296" i="3" s="1"/>
  <c r="B297" i="3"/>
  <c r="C297" i="3" s="1"/>
  <c r="B298" i="3"/>
  <c r="C298" i="3" s="1"/>
  <c r="B299" i="3"/>
  <c r="C299" i="3" s="1"/>
  <c r="G299" i="3" s="1"/>
  <c r="B300" i="3"/>
  <c r="C300" i="3" s="1"/>
  <c r="G300" i="3" s="1"/>
  <c r="B301" i="3"/>
  <c r="C301" i="3" s="1"/>
  <c r="B302" i="3"/>
  <c r="C302" i="3" s="1"/>
  <c r="B303" i="3"/>
  <c r="C303" i="3" s="1"/>
  <c r="G303" i="3" s="1"/>
  <c r="B304" i="3"/>
  <c r="C304" i="3" s="1"/>
  <c r="B2" i="3"/>
  <c r="C2" i="3" s="1"/>
  <c r="G2" i="3" s="1"/>
  <c r="J2" i="3" s="1"/>
  <c r="A3" i="3"/>
  <c r="I3" i="3" s="1"/>
  <c r="A4" i="3"/>
  <c r="I4" i="3" s="1"/>
  <c r="A5" i="3"/>
  <c r="I5" i="3" s="1"/>
  <c r="A6" i="3"/>
  <c r="I6" i="3" s="1"/>
  <c r="A7" i="3"/>
  <c r="F7" i="3" s="1"/>
  <c r="A8" i="3"/>
  <c r="I8" i="3" s="1"/>
  <c r="A9" i="3"/>
  <c r="I9" i="3" s="1"/>
  <c r="A10" i="3"/>
  <c r="I10" i="3" s="1"/>
  <c r="A11" i="3"/>
  <c r="I11" i="3" s="1"/>
  <c r="A12" i="3"/>
  <c r="F12" i="3" s="1"/>
  <c r="A13" i="3"/>
  <c r="F13" i="3" s="1"/>
  <c r="A14" i="3"/>
  <c r="F14" i="3" s="1"/>
  <c r="A15" i="3"/>
  <c r="I15" i="3" s="1"/>
  <c r="A16" i="3"/>
  <c r="I16" i="3" s="1"/>
  <c r="A17" i="3"/>
  <c r="I17" i="3" s="1"/>
  <c r="A18" i="3"/>
  <c r="I18" i="3" s="1"/>
  <c r="A19" i="3"/>
  <c r="F19" i="3" s="1"/>
  <c r="A20" i="3"/>
  <c r="I20" i="3" s="1"/>
  <c r="A21" i="3"/>
  <c r="I21" i="3" s="1"/>
  <c r="A22" i="3"/>
  <c r="I22" i="3" s="1"/>
  <c r="A23" i="3"/>
  <c r="I23" i="3" s="1"/>
  <c r="A24" i="3"/>
  <c r="F24" i="3" s="1"/>
  <c r="A25" i="3"/>
  <c r="F25" i="3" s="1"/>
  <c r="A26" i="3"/>
  <c r="F26" i="3" s="1"/>
  <c r="A27" i="3"/>
  <c r="I27" i="3" s="1"/>
  <c r="A28" i="3"/>
  <c r="I28" i="3" s="1"/>
  <c r="A29" i="3"/>
  <c r="I29" i="3" s="1"/>
  <c r="A30" i="3"/>
  <c r="I30" i="3" s="1"/>
  <c r="A31" i="3"/>
  <c r="F31" i="3" s="1"/>
  <c r="A32" i="3"/>
  <c r="I32" i="3" s="1"/>
  <c r="A33" i="3"/>
  <c r="I33" i="3" s="1"/>
  <c r="A34" i="3"/>
  <c r="I34" i="3" s="1"/>
  <c r="A35" i="3"/>
  <c r="I35" i="3" s="1"/>
  <c r="A36" i="3"/>
  <c r="F36" i="3" s="1"/>
  <c r="A37" i="3"/>
  <c r="F37" i="3" s="1"/>
  <c r="A38" i="3"/>
  <c r="F38" i="3" s="1"/>
  <c r="A39" i="3"/>
  <c r="I39" i="3" s="1"/>
  <c r="A40" i="3"/>
  <c r="I40" i="3" s="1"/>
  <c r="A41" i="3"/>
  <c r="I41" i="3" s="1"/>
  <c r="A42" i="3"/>
  <c r="I42" i="3" s="1"/>
  <c r="A43" i="3"/>
  <c r="F43" i="3" s="1"/>
  <c r="A44" i="3"/>
  <c r="I44" i="3" s="1"/>
  <c r="A45" i="3"/>
  <c r="I45" i="3" s="1"/>
  <c r="A46" i="3"/>
  <c r="I46" i="3" s="1"/>
  <c r="A47" i="3"/>
  <c r="I47" i="3" s="1"/>
  <c r="A48" i="3"/>
  <c r="F48" i="3" s="1"/>
  <c r="A49" i="3"/>
  <c r="F49" i="3" s="1"/>
  <c r="A50" i="3"/>
  <c r="F50" i="3" s="1"/>
  <c r="A51" i="3"/>
  <c r="I51" i="3" s="1"/>
  <c r="A52" i="3"/>
  <c r="I52" i="3" s="1"/>
  <c r="A53" i="3"/>
  <c r="I53" i="3" s="1"/>
  <c r="A54" i="3"/>
  <c r="I54" i="3" s="1"/>
  <c r="A55" i="3"/>
  <c r="F55" i="3" s="1"/>
  <c r="A56" i="3"/>
  <c r="I56" i="3" s="1"/>
  <c r="A57" i="3"/>
  <c r="I57" i="3" s="1"/>
  <c r="A58" i="3"/>
  <c r="I58" i="3" s="1"/>
  <c r="A59" i="3"/>
  <c r="I59" i="3" s="1"/>
  <c r="A60" i="3"/>
  <c r="F60" i="3" s="1"/>
  <c r="A61" i="3"/>
  <c r="F61" i="3" s="1"/>
  <c r="A62" i="3"/>
  <c r="F62" i="3" s="1"/>
  <c r="A63" i="3"/>
  <c r="I63" i="3" s="1"/>
  <c r="A64" i="3"/>
  <c r="I64" i="3" s="1"/>
  <c r="A65" i="3"/>
  <c r="I65" i="3" s="1"/>
  <c r="A66" i="3"/>
  <c r="I66" i="3" s="1"/>
  <c r="A67" i="3"/>
  <c r="F67" i="3" s="1"/>
  <c r="A68" i="3"/>
  <c r="I68" i="3" s="1"/>
  <c r="A69" i="3"/>
  <c r="I69" i="3" s="1"/>
  <c r="A70" i="3"/>
  <c r="I70" i="3" s="1"/>
  <c r="A71" i="3"/>
  <c r="I71" i="3" s="1"/>
  <c r="A72" i="3"/>
  <c r="F72" i="3" s="1"/>
  <c r="A73" i="3"/>
  <c r="F73" i="3" s="1"/>
  <c r="A74" i="3"/>
  <c r="F74" i="3" s="1"/>
  <c r="A75" i="3"/>
  <c r="I75" i="3" s="1"/>
  <c r="A76" i="3"/>
  <c r="I76" i="3" s="1"/>
  <c r="A77" i="3"/>
  <c r="I77" i="3" s="1"/>
  <c r="A78" i="3"/>
  <c r="I78" i="3" s="1"/>
  <c r="A79" i="3"/>
  <c r="F79" i="3" s="1"/>
  <c r="A80" i="3"/>
  <c r="I80" i="3" s="1"/>
  <c r="A81" i="3"/>
  <c r="I81" i="3" s="1"/>
  <c r="A82" i="3"/>
  <c r="I82" i="3" s="1"/>
  <c r="A83" i="3"/>
  <c r="I83" i="3" s="1"/>
  <c r="A84" i="3"/>
  <c r="F84" i="3" s="1"/>
  <c r="A85" i="3"/>
  <c r="F85" i="3" s="1"/>
  <c r="A86" i="3"/>
  <c r="F86" i="3" s="1"/>
  <c r="A87" i="3"/>
  <c r="I87" i="3" s="1"/>
  <c r="A88" i="3"/>
  <c r="I88" i="3" s="1"/>
  <c r="A89" i="3"/>
  <c r="I89" i="3" s="1"/>
  <c r="A90" i="3"/>
  <c r="I90" i="3" s="1"/>
  <c r="A91" i="3"/>
  <c r="F91" i="3" s="1"/>
  <c r="A92" i="3"/>
  <c r="I92" i="3" s="1"/>
  <c r="A93" i="3"/>
  <c r="I93" i="3" s="1"/>
  <c r="A94" i="3"/>
  <c r="I94" i="3" s="1"/>
  <c r="A95" i="3"/>
  <c r="I95" i="3" s="1"/>
  <c r="A96" i="3"/>
  <c r="F96" i="3" s="1"/>
  <c r="A97" i="3"/>
  <c r="F97" i="3" s="1"/>
  <c r="A98" i="3"/>
  <c r="F98" i="3" s="1"/>
  <c r="A99" i="3"/>
  <c r="I99" i="3" s="1"/>
  <c r="A100" i="3"/>
  <c r="I100" i="3" s="1"/>
  <c r="A101" i="3"/>
  <c r="I101" i="3" s="1"/>
  <c r="A102" i="3"/>
  <c r="I102" i="3" s="1"/>
  <c r="A103" i="3"/>
  <c r="I103" i="3" s="1"/>
  <c r="A104" i="3"/>
  <c r="I104" i="3" s="1"/>
  <c r="A105" i="3"/>
  <c r="I105" i="3" s="1"/>
  <c r="A106" i="3"/>
  <c r="I106" i="3" s="1"/>
  <c r="A107" i="3"/>
  <c r="I107" i="3" s="1"/>
  <c r="A108" i="3"/>
  <c r="F108" i="3" s="1"/>
  <c r="A109" i="3"/>
  <c r="F109" i="3" s="1"/>
  <c r="A110" i="3"/>
  <c r="F110" i="3" s="1"/>
  <c r="A111" i="3"/>
  <c r="I111" i="3" s="1"/>
  <c r="A112" i="3"/>
  <c r="I112" i="3" s="1"/>
  <c r="A113" i="3"/>
  <c r="I113" i="3" s="1"/>
  <c r="A114" i="3"/>
  <c r="I114" i="3" s="1"/>
  <c r="A115" i="3"/>
  <c r="I115" i="3" s="1"/>
  <c r="A116" i="3"/>
  <c r="I116" i="3" s="1"/>
  <c r="A117" i="3"/>
  <c r="I117" i="3" s="1"/>
  <c r="A118" i="3"/>
  <c r="I118" i="3" s="1"/>
  <c r="A119" i="3"/>
  <c r="I119" i="3" s="1"/>
  <c r="A120" i="3"/>
  <c r="F120" i="3" s="1"/>
  <c r="A121" i="3"/>
  <c r="F121" i="3" s="1"/>
  <c r="A122" i="3"/>
  <c r="F122" i="3" s="1"/>
  <c r="A123" i="3"/>
  <c r="I123" i="3" s="1"/>
  <c r="A124" i="3"/>
  <c r="I124" i="3" s="1"/>
  <c r="A125" i="3"/>
  <c r="I125" i="3" s="1"/>
  <c r="A126" i="3"/>
  <c r="I126" i="3" s="1"/>
  <c r="A127" i="3"/>
  <c r="F127" i="3" s="1"/>
  <c r="A128" i="3"/>
  <c r="I128" i="3" s="1"/>
  <c r="A129" i="3"/>
  <c r="I129" i="3" s="1"/>
  <c r="A130" i="3"/>
  <c r="I130" i="3" s="1"/>
  <c r="A131" i="3"/>
  <c r="I131" i="3" s="1"/>
  <c r="A132" i="3"/>
  <c r="F132" i="3" s="1"/>
  <c r="A133" i="3"/>
  <c r="F133" i="3" s="1"/>
  <c r="A134" i="3"/>
  <c r="F134" i="3" s="1"/>
  <c r="A135" i="3"/>
  <c r="I135" i="3" s="1"/>
  <c r="A136" i="3"/>
  <c r="I136" i="3" s="1"/>
  <c r="A137" i="3"/>
  <c r="I137" i="3" s="1"/>
  <c r="A138" i="3"/>
  <c r="I138" i="3" s="1"/>
  <c r="A139" i="3"/>
  <c r="F139" i="3" s="1"/>
  <c r="A140" i="3"/>
  <c r="I140" i="3" s="1"/>
  <c r="A141" i="3"/>
  <c r="I141" i="3" s="1"/>
  <c r="A142" i="3"/>
  <c r="I142" i="3" s="1"/>
  <c r="A143" i="3"/>
  <c r="I143" i="3" s="1"/>
  <c r="A144" i="3"/>
  <c r="F144" i="3" s="1"/>
  <c r="A145" i="3"/>
  <c r="F145" i="3" s="1"/>
  <c r="A146" i="3"/>
  <c r="F146" i="3" s="1"/>
  <c r="A147" i="3"/>
  <c r="I147" i="3" s="1"/>
  <c r="A148" i="3"/>
  <c r="I148" i="3" s="1"/>
  <c r="A149" i="3"/>
  <c r="I149" i="3" s="1"/>
  <c r="A150" i="3"/>
  <c r="I150" i="3" s="1"/>
  <c r="A151" i="3"/>
  <c r="I151" i="3" s="1"/>
  <c r="A152" i="3"/>
  <c r="I152" i="3" s="1"/>
  <c r="A153" i="3"/>
  <c r="I153" i="3" s="1"/>
  <c r="A154" i="3"/>
  <c r="I154" i="3" s="1"/>
  <c r="A155" i="3"/>
  <c r="I155" i="3" s="1"/>
  <c r="A156" i="3"/>
  <c r="F156" i="3" s="1"/>
  <c r="A157" i="3"/>
  <c r="F157" i="3" s="1"/>
  <c r="A158" i="3"/>
  <c r="F158" i="3" s="1"/>
  <c r="A159" i="3"/>
  <c r="I159" i="3" s="1"/>
  <c r="A160" i="3"/>
  <c r="I160" i="3" s="1"/>
  <c r="A161" i="3"/>
  <c r="I161" i="3" s="1"/>
  <c r="A162" i="3"/>
  <c r="I162" i="3" s="1"/>
  <c r="A163" i="3"/>
  <c r="F163" i="3" s="1"/>
  <c r="A164" i="3"/>
  <c r="I164" i="3" s="1"/>
  <c r="A165" i="3"/>
  <c r="I165" i="3" s="1"/>
  <c r="A166" i="3"/>
  <c r="I166" i="3" s="1"/>
  <c r="A167" i="3"/>
  <c r="I167" i="3" s="1"/>
  <c r="A168" i="3"/>
  <c r="F168" i="3" s="1"/>
  <c r="A169" i="3"/>
  <c r="F169" i="3" s="1"/>
  <c r="A170" i="3"/>
  <c r="F170" i="3" s="1"/>
  <c r="A171" i="3"/>
  <c r="I171" i="3" s="1"/>
  <c r="A172" i="3"/>
  <c r="I172" i="3" s="1"/>
  <c r="A173" i="3"/>
  <c r="I173" i="3" s="1"/>
  <c r="A174" i="3"/>
  <c r="I174" i="3" s="1"/>
  <c r="A175" i="3"/>
  <c r="F175" i="3" s="1"/>
  <c r="A176" i="3"/>
  <c r="I176" i="3" s="1"/>
  <c r="A177" i="3"/>
  <c r="I177" i="3" s="1"/>
  <c r="A178" i="3"/>
  <c r="I178" i="3" s="1"/>
  <c r="A179" i="3"/>
  <c r="I179" i="3" s="1"/>
  <c r="A180" i="3"/>
  <c r="F180" i="3" s="1"/>
  <c r="A181" i="3"/>
  <c r="F181" i="3" s="1"/>
  <c r="A182" i="3"/>
  <c r="F182" i="3" s="1"/>
  <c r="A183" i="3"/>
  <c r="I183" i="3" s="1"/>
  <c r="A184" i="3"/>
  <c r="I184" i="3" s="1"/>
  <c r="A185" i="3"/>
  <c r="I185" i="3" s="1"/>
  <c r="A186" i="3"/>
  <c r="I186" i="3" s="1"/>
  <c r="A187" i="3"/>
  <c r="I187" i="3" s="1"/>
  <c r="A188" i="3"/>
  <c r="I188" i="3" s="1"/>
  <c r="A189" i="3"/>
  <c r="I189" i="3" s="1"/>
  <c r="A190" i="3"/>
  <c r="I190" i="3" s="1"/>
  <c r="A191" i="3"/>
  <c r="I191" i="3" s="1"/>
  <c r="A192" i="3"/>
  <c r="F192" i="3" s="1"/>
  <c r="A193" i="3"/>
  <c r="F193" i="3" s="1"/>
  <c r="A194" i="3"/>
  <c r="F194" i="3" s="1"/>
  <c r="A195" i="3"/>
  <c r="I195" i="3" s="1"/>
  <c r="A196" i="3"/>
  <c r="I196" i="3" s="1"/>
  <c r="A197" i="3"/>
  <c r="I197" i="3" s="1"/>
  <c r="A198" i="3"/>
  <c r="I198" i="3" s="1"/>
  <c r="A199" i="3"/>
  <c r="I199" i="3" s="1"/>
  <c r="A200" i="3"/>
  <c r="I200" i="3" s="1"/>
  <c r="A201" i="3"/>
  <c r="I201" i="3" s="1"/>
  <c r="A202" i="3"/>
  <c r="I202" i="3" s="1"/>
  <c r="A203" i="3"/>
  <c r="I203" i="3" s="1"/>
  <c r="A204" i="3"/>
  <c r="F204" i="3" s="1"/>
  <c r="A205" i="3"/>
  <c r="F205" i="3" s="1"/>
  <c r="A206" i="3"/>
  <c r="F206" i="3" s="1"/>
  <c r="A207" i="3"/>
  <c r="I207" i="3" s="1"/>
  <c r="A208" i="3"/>
  <c r="I208" i="3" s="1"/>
  <c r="A209" i="3"/>
  <c r="I209" i="3" s="1"/>
  <c r="A210" i="3"/>
  <c r="I210" i="3" s="1"/>
  <c r="A211" i="3"/>
  <c r="I211" i="3" s="1"/>
  <c r="A212" i="3"/>
  <c r="I212" i="3" s="1"/>
  <c r="A213" i="3"/>
  <c r="I213" i="3" s="1"/>
  <c r="A214" i="3"/>
  <c r="I214" i="3" s="1"/>
  <c r="A215" i="3"/>
  <c r="I215" i="3" s="1"/>
  <c r="A216" i="3"/>
  <c r="F216" i="3" s="1"/>
  <c r="A217" i="3"/>
  <c r="F217" i="3" s="1"/>
  <c r="A218" i="3"/>
  <c r="F218" i="3" s="1"/>
  <c r="A219" i="3"/>
  <c r="I219" i="3" s="1"/>
  <c r="A220" i="3"/>
  <c r="I220" i="3" s="1"/>
  <c r="A221" i="3"/>
  <c r="I221" i="3" s="1"/>
  <c r="A222" i="3"/>
  <c r="I222" i="3" s="1"/>
  <c r="A223" i="3"/>
  <c r="I223" i="3" s="1"/>
  <c r="A224" i="3"/>
  <c r="I224" i="3" s="1"/>
  <c r="A225" i="3"/>
  <c r="I225" i="3" s="1"/>
  <c r="A226" i="3"/>
  <c r="I226" i="3" s="1"/>
  <c r="A227" i="3"/>
  <c r="I227" i="3" s="1"/>
  <c r="A228" i="3"/>
  <c r="F228" i="3" s="1"/>
  <c r="A229" i="3"/>
  <c r="F229" i="3" s="1"/>
  <c r="A230" i="3"/>
  <c r="F230" i="3" s="1"/>
  <c r="A231" i="3"/>
  <c r="I231" i="3" s="1"/>
  <c r="A232" i="3"/>
  <c r="I232" i="3" s="1"/>
  <c r="A233" i="3"/>
  <c r="I233" i="3" s="1"/>
  <c r="A234" i="3"/>
  <c r="I234" i="3" s="1"/>
  <c r="A235" i="3"/>
  <c r="F235" i="3" s="1"/>
  <c r="A236" i="3"/>
  <c r="I236" i="3" s="1"/>
  <c r="A237" i="3"/>
  <c r="I237" i="3" s="1"/>
  <c r="A238" i="3"/>
  <c r="I238" i="3" s="1"/>
  <c r="A239" i="3"/>
  <c r="I239" i="3" s="1"/>
  <c r="A240" i="3"/>
  <c r="F240" i="3" s="1"/>
  <c r="A241" i="3"/>
  <c r="F241" i="3" s="1"/>
  <c r="A242" i="3"/>
  <c r="F242" i="3" s="1"/>
  <c r="A243" i="3"/>
  <c r="I243" i="3" s="1"/>
  <c r="A244" i="3"/>
  <c r="I244" i="3" s="1"/>
  <c r="A245" i="3"/>
  <c r="I245" i="3" s="1"/>
  <c r="A246" i="3"/>
  <c r="I246" i="3" s="1"/>
  <c r="A247" i="3"/>
  <c r="I247" i="3" s="1"/>
  <c r="A248" i="3"/>
  <c r="I248" i="3" s="1"/>
  <c r="A249" i="3"/>
  <c r="I249" i="3" s="1"/>
  <c r="A250" i="3"/>
  <c r="I250" i="3" s="1"/>
  <c r="A251" i="3"/>
  <c r="I251" i="3" s="1"/>
  <c r="A252" i="3"/>
  <c r="F252" i="3" s="1"/>
  <c r="A253" i="3"/>
  <c r="F253" i="3" s="1"/>
  <c r="A254" i="3"/>
  <c r="F254" i="3" s="1"/>
  <c r="A255" i="3"/>
  <c r="I255" i="3" s="1"/>
  <c r="A256" i="3"/>
  <c r="I256" i="3" s="1"/>
  <c r="A257" i="3"/>
  <c r="I257" i="3" s="1"/>
  <c r="A258" i="3"/>
  <c r="I258" i="3" s="1"/>
  <c r="A259" i="3"/>
  <c r="I259" i="3" s="1"/>
  <c r="A260" i="3"/>
  <c r="I260" i="3" s="1"/>
  <c r="A261" i="3"/>
  <c r="I261" i="3" s="1"/>
  <c r="A262" i="3"/>
  <c r="I262" i="3" s="1"/>
  <c r="A263" i="3"/>
  <c r="I263" i="3" s="1"/>
  <c r="A264" i="3"/>
  <c r="F264" i="3" s="1"/>
  <c r="A265" i="3"/>
  <c r="F265" i="3" s="1"/>
  <c r="A266" i="3"/>
  <c r="F266" i="3" s="1"/>
  <c r="A267" i="3"/>
  <c r="I267" i="3" s="1"/>
  <c r="A268" i="3"/>
  <c r="I268" i="3" s="1"/>
  <c r="A269" i="3"/>
  <c r="I269" i="3" s="1"/>
  <c r="A270" i="3"/>
  <c r="I270" i="3" s="1"/>
  <c r="A271" i="3"/>
  <c r="F271" i="3" s="1"/>
  <c r="A272" i="3"/>
  <c r="I272" i="3" s="1"/>
  <c r="A273" i="3"/>
  <c r="I273" i="3" s="1"/>
  <c r="A274" i="3"/>
  <c r="I274" i="3" s="1"/>
  <c r="A275" i="3"/>
  <c r="I275" i="3" s="1"/>
  <c r="A276" i="3"/>
  <c r="F276" i="3" s="1"/>
  <c r="A277" i="3"/>
  <c r="F277" i="3" s="1"/>
  <c r="A278" i="3"/>
  <c r="F278" i="3" s="1"/>
  <c r="A279" i="3"/>
  <c r="I279" i="3" s="1"/>
  <c r="A280" i="3"/>
  <c r="I280" i="3" s="1"/>
  <c r="A281" i="3"/>
  <c r="I281" i="3" s="1"/>
  <c r="A282" i="3"/>
  <c r="I282" i="3" s="1"/>
  <c r="A283" i="3"/>
  <c r="F283" i="3" s="1"/>
  <c r="A284" i="3"/>
  <c r="I284" i="3" s="1"/>
  <c r="A285" i="3"/>
  <c r="I285" i="3" s="1"/>
  <c r="A286" i="3"/>
  <c r="I286" i="3" s="1"/>
  <c r="A287" i="3"/>
  <c r="I287" i="3" s="1"/>
  <c r="A288" i="3"/>
  <c r="F288" i="3" s="1"/>
  <c r="A289" i="3"/>
  <c r="F289" i="3" s="1"/>
  <c r="A290" i="3"/>
  <c r="F290" i="3" s="1"/>
  <c r="A291" i="3"/>
  <c r="I291" i="3" s="1"/>
  <c r="A292" i="3"/>
  <c r="I292" i="3" s="1"/>
  <c r="A293" i="3"/>
  <c r="I293" i="3" s="1"/>
  <c r="A294" i="3"/>
  <c r="I294" i="3" s="1"/>
  <c r="A295" i="3"/>
  <c r="I295" i="3" s="1"/>
  <c r="A296" i="3"/>
  <c r="I296" i="3" s="1"/>
  <c r="A297" i="3"/>
  <c r="I297" i="3" s="1"/>
  <c r="A298" i="3"/>
  <c r="I298" i="3" s="1"/>
  <c r="A299" i="3"/>
  <c r="I299" i="3" s="1"/>
  <c r="A300" i="3"/>
  <c r="F300" i="3" s="1"/>
  <c r="A301" i="3"/>
  <c r="F301" i="3" s="1"/>
  <c r="A302" i="3"/>
  <c r="F302" i="3" s="1"/>
  <c r="A303" i="3"/>
  <c r="I303" i="3" s="1"/>
  <c r="A304" i="3"/>
  <c r="I304" i="3" s="1"/>
  <c r="A2" i="3"/>
  <c r="I2" i="3" s="1"/>
  <c r="C2" i="2"/>
  <c r="E2" i="2" s="1"/>
  <c r="E40" i="2"/>
  <c r="E41" i="2"/>
  <c r="E42" i="2"/>
  <c r="E43" i="2"/>
  <c r="E44" i="2"/>
  <c r="E45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G304" i="3" l="1"/>
  <c r="G292" i="3"/>
  <c r="G280" i="3"/>
  <c r="G268" i="3"/>
  <c r="G256" i="3"/>
  <c r="G244" i="3"/>
  <c r="G232" i="3"/>
  <c r="G220" i="3"/>
  <c r="G208" i="3"/>
  <c r="G196" i="3"/>
  <c r="G184" i="3"/>
  <c r="J184" i="3" s="1"/>
  <c r="G172" i="3"/>
  <c r="J172" i="3" s="1"/>
  <c r="G160" i="3"/>
  <c r="G148" i="3"/>
  <c r="G136" i="3"/>
  <c r="G124" i="3"/>
  <c r="G112" i="3"/>
  <c r="G100" i="3"/>
  <c r="G88" i="3"/>
  <c r="G76" i="3"/>
  <c r="G64" i="3"/>
  <c r="G52" i="3"/>
  <c r="G40" i="3"/>
  <c r="J40" i="3" s="1"/>
  <c r="G28" i="3"/>
  <c r="J28" i="3" s="1"/>
  <c r="G16" i="3"/>
  <c r="G4" i="3"/>
  <c r="AJ9" i="3"/>
  <c r="G298" i="3"/>
  <c r="G286" i="3"/>
  <c r="G274" i="3"/>
  <c r="G262" i="3"/>
  <c r="G250" i="3"/>
  <c r="G238" i="3"/>
  <c r="G226" i="3"/>
  <c r="J226" i="3" s="1"/>
  <c r="G214" i="3"/>
  <c r="J214" i="3" s="1"/>
  <c r="G202" i="3"/>
  <c r="J202" i="3" s="1"/>
  <c r="G190" i="3"/>
  <c r="J190" i="3" s="1"/>
  <c r="G178" i="3"/>
  <c r="J178" i="3" s="1"/>
  <c r="G166" i="3"/>
  <c r="G154" i="3"/>
  <c r="G142" i="3"/>
  <c r="G130" i="3"/>
  <c r="G118" i="3"/>
  <c r="G106" i="3"/>
  <c r="G94" i="3"/>
  <c r="G82" i="3"/>
  <c r="J82" i="3" s="1"/>
  <c r="G70" i="3"/>
  <c r="J70" i="3" s="1"/>
  <c r="G58" i="3"/>
  <c r="J58" i="3" s="1"/>
  <c r="G46" i="3"/>
  <c r="J46" i="3" s="1"/>
  <c r="G34" i="3"/>
  <c r="J34" i="3" s="1"/>
  <c r="G22" i="3"/>
  <c r="J22" i="3" s="1"/>
  <c r="G10" i="3"/>
  <c r="AJ8" i="3"/>
  <c r="G297" i="3"/>
  <c r="G285" i="3"/>
  <c r="G273" i="3"/>
  <c r="G261" i="3"/>
  <c r="G249" i="3"/>
  <c r="J249" i="3" s="1"/>
  <c r="G237" i="3"/>
  <c r="J237" i="3" s="1"/>
  <c r="G225" i="3"/>
  <c r="J225" i="3" s="1"/>
  <c r="G213" i="3"/>
  <c r="G201" i="3"/>
  <c r="J201" i="3" s="1"/>
  <c r="G189" i="3"/>
  <c r="G177" i="3"/>
  <c r="J177" i="3" s="1"/>
  <c r="G165" i="3"/>
  <c r="G153" i="3"/>
  <c r="G141" i="3"/>
  <c r="J141" i="3" s="1"/>
  <c r="G129" i="3"/>
  <c r="G117" i="3"/>
  <c r="G105" i="3"/>
  <c r="J105" i="3" s="1"/>
  <c r="G93" i="3"/>
  <c r="J93" i="3" s="1"/>
  <c r="G81" i="3"/>
  <c r="J81" i="3" s="1"/>
  <c r="G69" i="3"/>
  <c r="G57" i="3"/>
  <c r="J57" i="3" s="1"/>
  <c r="G45" i="3"/>
  <c r="G33" i="3"/>
  <c r="J33" i="3" s="1"/>
  <c r="G21" i="3"/>
  <c r="J21" i="3" s="1"/>
  <c r="G9" i="3"/>
  <c r="J9" i="3" s="1"/>
  <c r="J264" i="3"/>
  <c r="J252" i="3"/>
  <c r="J240" i="3"/>
  <c r="J228" i="3"/>
  <c r="J216" i="3"/>
  <c r="J204" i="3"/>
  <c r="J192" i="3"/>
  <c r="J180" i="3"/>
  <c r="J168" i="3"/>
  <c r="J156" i="3"/>
  <c r="J144" i="3"/>
  <c r="J132" i="3"/>
  <c r="J120" i="3"/>
  <c r="J108" i="3"/>
  <c r="J96" i="3"/>
  <c r="J84" i="3"/>
  <c r="J72" i="3"/>
  <c r="J60" i="3"/>
  <c r="J48" i="3"/>
  <c r="J36" i="3"/>
  <c r="J287" i="3"/>
  <c r="J263" i="3"/>
  <c r="J251" i="3"/>
  <c r="J239" i="3"/>
  <c r="J227" i="3"/>
  <c r="J215" i="3"/>
  <c r="J203" i="3"/>
  <c r="J191" i="3"/>
  <c r="J179" i="3"/>
  <c r="J167" i="3"/>
  <c r="J155" i="3"/>
  <c r="J143" i="3"/>
  <c r="J131" i="3"/>
  <c r="J119" i="3"/>
  <c r="J107" i="3"/>
  <c r="J95" i="3"/>
  <c r="J83" i="3"/>
  <c r="J71" i="3"/>
  <c r="J59" i="3"/>
  <c r="J47" i="3"/>
  <c r="J35" i="3"/>
  <c r="J274" i="3"/>
  <c r="J262" i="3"/>
  <c r="J250" i="3"/>
  <c r="J238" i="3"/>
  <c r="J166" i="3"/>
  <c r="J154" i="3"/>
  <c r="J142" i="3"/>
  <c r="J130" i="3"/>
  <c r="J118" i="3"/>
  <c r="J106" i="3"/>
  <c r="J94" i="3"/>
  <c r="J273" i="3"/>
  <c r="J261" i="3"/>
  <c r="J213" i="3"/>
  <c r="J189" i="3"/>
  <c r="J165" i="3"/>
  <c r="J153" i="3"/>
  <c r="J129" i="3"/>
  <c r="J117" i="3"/>
  <c r="J69" i="3"/>
  <c r="J45" i="3"/>
  <c r="J272" i="3"/>
  <c r="J260" i="3"/>
  <c r="J248" i="3"/>
  <c r="J236" i="3"/>
  <c r="J224" i="3"/>
  <c r="J212" i="3"/>
  <c r="J200" i="3"/>
  <c r="J188" i="3"/>
  <c r="J176" i="3"/>
  <c r="J164" i="3"/>
  <c r="J152" i="3"/>
  <c r="J140" i="3"/>
  <c r="J128" i="3"/>
  <c r="J116" i="3"/>
  <c r="J104" i="3"/>
  <c r="J92" i="3"/>
  <c r="J80" i="3"/>
  <c r="J68" i="3"/>
  <c r="J56" i="3"/>
  <c r="J44" i="3"/>
  <c r="J32" i="3"/>
  <c r="J271" i="3"/>
  <c r="J259" i="3"/>
  <c r="J247" i="3"/>
  <c r="J235" i="3"/>
  <c r="J223" i="3"/>
  <c r="J211" i="3"/>
  <c r="J199" i="3"/>
  <c r="J187" i="3"/>
  <c r="J175" i="3"/>
  <c r="J163" i="3"/>
  <c r="J151" i="3"/>
  <c r="J139" i="3"/>
  <c r="J127" i="3"/>
  <c r="J115" i="3"/>
  <c r="J103" i="3"/>
  <c r="J91" i="3"/>
  <c r="J79" i="3"/>
  <c r="J67" i="3"/>
  <c r="J55" i="3"/>
  <c r="J43" i="3"/>
  <c r="J270" i="3"/>
  <c r="J258" i="3"/>
  <c r="J246" i="3"/>
  <c r="J234" i="3"/>
  <c r="J222" i="3"/>
  <c r="J210" i="3"/>
  <c r="J198" i="3"/>
  <c r="J186" i="3"/>
  <c r="J174" i="3"/>
  <c r="J162" i="3"/>
  <c r="J150" i="3"/>
  <c r="J138" i="3"/>
  <c r="J126" i="3"/>
  <c r="J114" i="3"/>
  <c r="J102" i="3"/>
  <c r="J90" i="3"/>
  <c r="J78" i="3"/>
  <c r="J66" i="3"/>
  <c r="J54" i="3"/>
  <c r="J42" i="3"/>
  <c r="J269" i="3"/>
  <c r="J257" i="3"/>
  <c r="J245" i="3"/>
  <c r="J233" i="3"/>
  <c r="J221" i="3"/>
  <c r="J209" i="3"/>
  <c r="J197" i="3"/>
  <c r="J185" i="3"/>
  <c r="J173" i="3"/>
  <c r="J161" i="3"/>
  <c r="J149" i="3"/>
  <c r="J137" i="3"/>
  <c r="J125" i="3"/>
  <c r="J113" i="3"/>
  <c r="J101" i="3"/>
  <c r="J89" i="3"/>
  <c r="J77" i="3"/>
  <c r="J65" i="3"/>
  <c r="J53" i="3"/>
  <c r="J41" i="3"/>
  <c r="J268" i="3"/>
  <c r="J256" i="3"/>
  <c r="J244" i="3"/>
  <c r="J232" i="3"/>
  <c r="J220" i="3"/>
  <c r="J208" i="3"/>
  <c r="J196" i="3"/>
  <c r="J160" i="3"/>
  <c r="J148" i="3"/>
  <c r="J136" i="3"/>
  <c r="J124" i="3"/>
  <c r="J112" i="3"/>
  <c r="J100" i="3"/>
  <c r="J88" i="3"/>
  <c r="J76" i="3"/>
  <c r="J64" i="3"/>
  <c r="J52" i="3"/>
  <c r="J267" i="3"/>
  <c r="J255" i="3"/>
  <c r="J243" i="3"/>
  <c r="J231" i="3"/>
  <c r="J219" i="3"/>
  <c r="J207" i="3"/>
  <c r="J195" i="3"/>
  <c r="J183" i="3"/>
  <c r="J171" i="3"/>
  <c r="J159" i="3"/>
  <c r="J147" i="3"/>
  <c r="J135" i="3"/>
  <c r="J123" i="3"/>
  <c r="J111" i="3"/>
  <c r="J99" i="3"/>
  <c r="J87" i="3"/>
  <c r="J75" i="3"/>
  <c r="J63" i="3"/>
  <c r="J51" i="3"/>
  <c r="J39" i="3"/>
  <c r="J300" i="3"/>
  <c r="J288" i="3"/>
  <c r="J276" i="3"/>
  <c r="J24" i="3"/>
  <c r="J12" i="3"/>
  <c r="J299" i="3"/>
  <c r="J275" i="3"/>
  <c r="J11" i="3"/>
  <c r="J298" i="3"/>
  <c r="J286" i="3"/>
  <c r="J10" i="3"/>
  <c r="J297" i="3"/>
  <c r="J285" i="3"/>
  <c r="J296" i="3"/>
  <c r="J284" i="3"/>
  <c r="J295" i="3"/>
  <c r="J283" i="3"/>
  <c r="J294" i="3"/>
  <c r="J282" i="3"/>
  <c r="J18" i="3"/>
  <c r="J6" i="3"/>
  <c r="J293" i="3"/>
  <c r="J281" i="3"/>
  <c r="J304" i="3"/>
  <c r="J292" i="3"/>
  <c r="J280" i="3"/>
  <c r="J16" i="3"/>
  <c r="J4" i="3"/>
  <c r="J303" i="3"/>
  <c r="J291" i="3"/>
  <c r="J279" i="3"/>
  <c r="G302" i="3"/>
  <c r="J302" i="3" s="1"/>
  <c r="G290" i="3"/>
  <c r="J290" i="3" s="1"/>
  <c r="G278" i="3"/>
  <c r="J278" i="3" s="1"/>
  <c r="G266" i="3"/>
  <c r="J266" i="3" s="1"/>
  <c r="G254" i="3"/>
  <c r="J254" i="3" s="1"/>
  <c r="G242" i="3"/>
  <c r="J242" i="3" s="1"/>
  <c r="G230" i="3"/>
  <c r="J230" i="3" s="1"/>
  <c r="G218" i="3"/>
  <c r="J218" i="3" s="1"/>
  <c r="G206" i="3"/>
  <c r="J206" i="3" s="1"/>
  <c r="G194" i="3"/>
  <c r="J194" i="3" s="1"/>
  <c r="G182" i="3"/>
  <c r="J182" i="3" s="1"/>
  <c r="G170" i="3"/>
  <c r="J170" i="3" s="1"/>
  <c r="G158" i="3"/>
  <c r="J158" i="3" s="1"/>
  <c r="G146" i="3"/>
  <c r="J146" i="3" s="1"/>
  <c r="G134" i="3"/>
  <c r="J134" i="3" s="1"/>
  <c r="G122" i="3"/>
  <c r="J122" i="3" s="1"/>
  <c r="G110" i="3"/>
  <c r="J110" i="3" s="1"/>
  <c r="G98" i="3"/>
  <c r="J98" i="3" s="1"/>
  <c r="G86" i="3"/>
  <c r="J86" i="3" s="1"/>
  <c r="G74" i="3"/>
  <c r="J74" i="3" s="1"/>
  <c r="G62" i="3"/>
  <c r="J62" i="3" s="1"/>
  <c r="G50" i="3"/>
  <c r="J50" i="3" s="1"/>
  <c r="G38" i="3"/>
  <c r="J38" i="3" s="1"/>
  <c r="G26" i="3"/>
  <c r="J26" i="3" s="1"/>
  <c r="G14" i="3"/>
  <c r="J14" i="3" s="1"/>
  <c r="G301" i="3"/>
  <c r="J301" i="3" s="1"/>
  <c r="G289" i="3"/>
  <c r="J289" i="3" s="1"/>
  <c r="G277" i="3"/>
  <c r="J277" i="3" s="1"/>
  <c r="G265" i="3"/>
  <c r="J265" i="3" s="1"/>
  <c r="G253" i="3"/>
  <c r="J253" i="3" s="1"/>
  <c r="G241" i="3"/>
  <c r="J241" i="3" s="1"/>
  <c r="G229" i="3"/>
  <c r="J229" i="3" s="1"/>
  <c r="G217" i="3"/>
  <c r="J217" i="3" s="1"/>
  <c r="G205" i="3"/>
  <c r="J205" i="3" s="1"/>
  <c r="G193" i="3"/>
  <c r="J193" i="3" s="1"/>
  <c r="G181" i="3"/>
  <c r="J181" i="3" s="1"/>
  <c r="G169" i="3"/>
  <c r="J169" i="3" s="1"/>
  <c r="G157" i="3"/>
  <c r="J157" i="3" s="1"/>
  <c r="G145" i="3"/>
  <c r="J145" i="3" s="1"/>
  <c r="G133" i="3"/>
  <c r="J133" i="3" s="1"/>
  <c r="G121" i="3"/>
  <c r="J121" i="3" s="1"/>
  <c r="G109" i="3"/>
  <c r="J109" i="3" s="1"/>
  <c r="G97" i="3"/>
  <c r="J97" i="3" s="1"/>
  <c r="G85" i="3"/>
  <c r="J85" i="3" s="1"/>
  <c r="G73" i="3"/>
  <c r="J73" i="3" s="1"/>
  <c r="G61" i="3"/>
  <c r="J61" i="3" s="1"/>
  <c r="G49" i="3"/>
  <c r="J49" i="3" s="1"/>
  <c r="G37" i="3"/>
  <c r="J37" i="3" s="1"/>
  <c r="G25" i="3"/>
  <c r="J25" i="3" s="1"/>
  <c r="G13" i="3"/>
  <c r="J13" i="3" s="1"/>
  <c r="F115" i="3"/>
  <c r="F83" i="3"/>
  <c r="F75" i="3"/>
  <c r="F35" i="3"/>
  <c r="F27" i="3"/>
  <c r="F9" i="3"/>
  <c r="F299" i="3"/>
  <c r="I290" i="3"/>
  <c r="F263" i="3"/>
  <c r="I242" i="3"/>
  <c r="F227" i="3"/>
  <c r="I194" i="3"/>
  <c r="F191" i="3"/>
  <c r="I146" i="3"/>
  <c r="F155" i="3"/>
  <c r="I98" i="3"/>
  <c r="F119" i="3"/>
  <c r="I50" i="3"/>
  <c r="F297" i="3"/>
  <c r="F261" i="3"/>
  <c r="F225" i="3"/>
  <c r="F189" i="3"/>
  <c r="F153" i="3"/>
  <c r="F117" i="3"/>
  <c r="F81" i="3"/>
  <c r="F33" i="3"/>
  <c r="I288" i="3"/>
  <c r="I240" i="3"/>
  <c r="I192" i="3"/>
  <c r="I144" i="3"/>
  <c r="I96" i="3"/>
  <c r="I48" i="3"/>
  <c r="F295" i="3"/>
  <c r="F259" i="3"/>
  <c r="F223" i="3"/>
  <c r="F187" i="3"/>
  <c r="F151" i="3"/>
  <c r="I283" i="3"/>
  <c r="I235" i="3"/>
  <c r="I139" i="3"/>
  <c r="I91" i="3"/>
  <c r="I43" i="3"/>
  <c r="F291" i="3"/>
  <c r="F255" i="3"/>
  <c r="F219" i="3"/>
  <c r="F183" i="3"/>
  <c r="F147" i="3"/>
  <c r="F111" i="3"/>
  <c r="F71" i="3"/>
  <c r="F23" i="3"/>
  <c r="I278" i="3"/>
  <c r="I230" i="3"/>
  <c r="I182" i="3"/>
  <c r="I134" i="3"/>
  <c r="I86" i="3"/>
  <c r="I38" i="3"/>
  <c r="F287" i="3"/>
  <c r="F251" i="3"/>
  <c r="F215" i="3"/>
  <c r="F179" i="3"/>
  <c r="F143" i="3"/>
  <c r="F107" i="3"/>
  <c r="F69" i="3"/>
  <c r="F21" i="3"/>
  <c r="I276" i="3"/>
  <c r="I228" i="3"/>
  <c r="I180" i="3"/>
  <c r="I132" i="3"/>
  <c r="I84" i="3"/>
  <c r="I36" i="3"/>
  <c r="F285" i="3"/>
  <c r="F249" i="3"/>
  <c r="F213" i="3"/>
  <c r="F177" i="3"/>
  <c r="F141" i="3"/>
  <c r="F105" i="3"/>
  <c r="F63" i="3"/>
  <c r="F15" i="3"/>
  <c r="I271" i="3"/>
  <c r="I175" i="3"/>
  <c r="I127" i="3"/>
  <c r="I79" i="3"/>
  <c r="I31" i="3"/>
  <c r="F247" i="3"/>
  <c r="F211" i="3"/>
  <c r="F103" i="3"/>
  <c r="F59" i="3"/>
  <c r="F11" i="3"/>
  <c r="I266" i="3"/>
  <c r="I218" i="3"/>
  <c r="I170" i="3"/>
  <c r="I122" i="3"/>
  <c r="I74" i="3"/>
  <c r="I26" i="3"/>
  <c r="F279" i="3"/>
  <c r="F243" i="3"/>
  <c r="F207" i="3"/>
  <c r="F171" i="3"/>
  <c r="F135" i="3"/>
  <c r="F99" i="3"/>
  <c r="F57" i="3"/>
  <c r="I264" i="3"/>
  <c r="I216" i="3"/>
  <c r="I168" i="3"/>
  <c r="I120" i="3"/>
  <c r="I72" i="3"/>
  <c r="I24" i="3"/>
  <c r="F275" i="3"/>
  <c r="F239" i="3"/>
  <c r="F203" i="3"/>
  <c r="F167" i="3"/>
  <c r="F131" i="3"/>
  <c r="F95" i="3"/>
  <c r="F51" i="3"/>
  <c r="F3" i="3"/>
  <c r="I163" i="3"/>
  <c r="I67" i="3"/>
  <c r="I19" i="3"/>
  <c r="F273" i="3"/>
  <c r="F237" i="3"/>
  <c r="F201" i="3"/>
  <c r="F165" i="3"/>
  <c r="F129" i="3"/>
  <c r="F93" i="3"/>
  <c r="F47" i="3"/>
  <c r="I302" i="3"/>
  <c r="I254" i="3"/>
  <c r="I206" i="3"/>
  <c r="I158" i="3"/>
  <c r="I110" i="3"/>
  <c r="I62" i="3"/>
  <c r="I14" i="3"/>
  <c r="F199" i="3"/>
  <c r="F45" i="3"/>
  <c r="I300" i="3"/>
  <c r="I252" i="3"/>
  <c r="I204" i="3"/>
  <c r="I156" i="3"/>
  <c r="I108" i="3"/>
  <c r="I60" i="3"/>
  <c r="I12" i="3"/>
  <c r="F303" i="3"/>
  <c r="F267" i="3"/>
  <c r="F231" i="3"/>
  <c r="F195" i="3"/>
  <c r="F159" i="3"/>
  <c r="F123" i="3"/>
  <c r="F87" i="3"/>
  <c r="F39" i="3"/>
  <c r="I55" i="3"/>
  <c r="I7" i="3"/>
  <c r="F298" i="3"/>
  <c r="F286" i="3"/>
  <c r="F274" i="3"/>
  <c r="F262" i="3"/>
  <c r="F250" i="3"/>
  <c r="F238" i="3"/>
  <c r="F226" i="3"/>
  <c r="F214" i="3"/>
  <c r="F202" i="3"/>
  <c r="F190" i="3"/>
  <c r="F178" i="3"/>
  <c r="F166" i="3"/>
  <c r="F154" i="3"/>
  <c r="F142" i="3"/>
  <c r="F130" i="3"/>
  <c r="F118" i="3"/>
  <c r="F106" i="3"/>
  <c r="F94" i="3"/>
  <c r="F82" i="3"/>
  <c r="F70" i="3"/>
  <c r="F58" i="3"/>
  <c r="F46" i="3"/>
  <c r="F34" i="3"/>
  <c r="F22" i="3"/>
  <c r="F10" i="3"/>
  <c r="I301" i="3"/>
  <c r="I289" i="3"/>
  <c r="I277" i="3"/>
  <c r="I265" i="3"/>
  <c r="I253" i="3"/>
  <c r="I241" i="3"/>
  <c r="I229" i="3"/>
  <c r="I217" i="3"/>
  <c r="I205" i="3"/>
  <c r="I193" i="3"/>
  <c r="I181" i="3"/>
  <c r="I169" i="3"/>
  <c r="I157" i="3"/>
  <c r="I145" i="3"/>
  <c r="I133" i="3"/>
  <c r="I121" i="3"/>
  <c r="I109" i="3"/>
  <c r="I97" i="3"/>
  <c r="I85" i="3"/>
  <c r="I73" i="3"/>
  <c r="I61" i="3"/>
  <c r="I49" i="3"/>
  <c r="I37" i="3"/>
  <c r="I25" i="3"/>
  <c r="I13" i="3"/>
  <c r="F296" i="3"/>
  <c r="F284" i="3"/>
  <c r="F272" i="3"/>
  <c r="F260" i="3"/>
  <c r="F248" i="3"/>
  <c r="F236" i="3"/>
  <c r="F224" i="3"/>
  <c r="F212" i="3"/>
  <c r="F200" i="3"/>
  <c r="F188" i="3"/>
  <c r="F176" i="3"/>
  <c r="F164" i="3"/>
  <c r="F152" i="3"/>
  <c r="F140" i="3"/>
  <c r="F128" i="3"/>
  <c r="F116" i="3"/>
  <c r="F104" i="3"/>
  <c r="F92" i="3"/>
  <c r="F80" i="3"/>
  <c r="F68" i="3"/>
  <c r="F56" i="3"/>
  <c r="F44" i="3"/>
  <c r="F32" i="3"/>
  <c r="F20" i="3"/>
  <c r="F8" i="3"/>
  <c r="F294" i="3"/>
  <c r="F282" i="3"/>
  <c r="F270" i="3"/>
  <c r="F258" i="3"/>
  <c r="F246" i="3"/>
  <c r="F234" i="3"/>
  <c r="F222" i="3"/>
  <c r="F210" i="3"/>
  <c r="F198" i="3"/>
  <c r="F186" i="3"/>
  <c r="F174" i="3"/>
  <c r="F162" i="3"/>
  <c r="F150" i="3"/>
  <c r="F138" i="3"/>
  <c r="F126" i="3"/>
  <c r="F114" i="3"/>
  <c r="F102" i="3"/>
  <c r="F90" i="3"/>
  <c r="F78" i="3"/>
  <c r="F66" i="3"/>
  <c r="F54" i="3"/>
  <c r="F42" i="3"/>
  <c r="F30" i="3"/>
  <c r="F18" i="3"/>
  <c r="F6" i="3"/>
  <c r="F2" i="3"/>
  <c r="F293" i="3"/>
  <c r="F281" i="3"/>
  <c r="F269" i="3"/>
  <c r="F257" i="3"/>
  <c r="F245" i="3"/>
  <c r="F233" i="3"/>
  <c r="F221" i="3"/>
  <c r="F209" i="3"/>
  <c r="F197" i="3"/>
  <c r="F185" i="3"/>
  <c r="F173" i="3"/>
  <c r="F161" i="3"/>
  <c r="F149" i="3"/>
  <c r="F137" i="3"/>
  <c r="F125" i="3"/>
  <c r="F113" i="3"/>
  <c r="F101" i="3"/>
  <c r="F89" i="3"/>
  <c r="F77" i="3"/>
  <c r="F65" i="3"/>
  <c r="F53" i="3"/>
  <c r="F41" i="3"/>
  <c r="F29" i="3"/>
  <c r="F17" i="3"/>
  <c r="F5" i="3"/>
  <c r="F304" i="3"/>
  <c r="F292" i="3"/>
  <c r="F280" i="3"/>
  <c r="F268" i="3"/>
  <c r="F256" i="3"/>
  <c r="F244" i="3"/>
  <c r="F232" i="3"/>
  <c r="F220" i="3"/>
  <c r="F208" i="3"/>
  <c r="F196" i="3"/>
  <c r="F184" i="3"/>
  <c r="F172" i="3"/>
  <c r="F160" i="3"/>
  <c r="F148" i="3"/>
  <c r="F136" i="3"/>
  <c r="F124" i="3"/>
  <c r="F112" i="3"/>
  <c r="F100" i="3"/>
  <c r="F88" i="3"/>
  <c r="F76" i="3"/>
  <c r="F64" i="3"/>
  <c r="F52" i="3"/>
  <c r="F40" i="3"/>
  <c r="F28" i="3"/>
  <c r="F16" i="3"/>
  <c r="F4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</calcChain>
</file>

<file path=xl/sharedStrings.xml><?xml version="1.0" encoding="utf-8"?>
<sst xmlns="http://schemas.openxmlformats.org/spreadsheetml/2006/main" count="89" uniqueCount="71">
  <si>
    <t>month</t>
  </si>
  <si>
    <t>mau</t>
  </si>
  <si>
    <t>week</t>
  </si>
  <si>
    <t>wau</t>
  </si>
  <si>
    <t>n_week</t>
  </si>
  <si>
    <t>n_year</t>
  </si>
  <si>
    <t>dau</t>
  </si>
  <si>
    <t>day</t>
  </si>
  <si>
    <t>26-я нед. 2022</t>
  </si>
  <si>
    <t>27-я нед. 2022</t>
  </si>
  <si>
    <t>28-я нед. 2022</t>
  </si>
  <si>
    <t>29-я нед. 2022</t>
  </si>
  <si>
    <t>30-я нед. 2022</t>
  </si>
  <si>
    <t>31-я нед. 2022</t>
  </si>
  <si>
    <t>32-я нед. 2022</t>
  </si>
  <si>
    <t>33-я нед. 2022</t>
  </si>
  <si>
    <t>34-я нед. 2022</t>
  </si>
  <si>
    <t>35-я нед. 2022</t>
  </si>
  <si>
    <t>36-я нед. 2022</t>
  </si>
  <si>
    <t>37-я нед. 2022</t>
  </si>
  <si>
    <t>38-я нед. 2022</t>
  </si>
  <si>
    <t>39-я нед. 2022</t>
  </si>
  <si>
    <t>40-я нед. 2022</t>
  </si>
  <si>
    <t>41-я нед. 2022</t>
  </si>
  <si>
    <t>42-я нед. 2022</t>
  </si>
  <si>
    <t>43-я нед. 2022</t>
  </si>
  <si>
    <t>44-я нед. 2022</t>
  </si>
  <si>
    <t>45-я нед. 2022</t>
  </si>
  <si>
    <t>46-я нед. 2022</t>
  </si>
  <si>
    <t>47-я нед. 2022</t>
  </si>
  <si>
    <t>48-я нед. 2022</t>
  </si>
  <si>
    <t>49-я нед. 2022</t>
  </si>
  <si>
    <t>50-я нед. 2022</t>
  </si>
  <si>
    <t>51-я нед. 2022</t>
  </si>
  <si>
    <t>52-я нед. 2022</t>
  </si>
  <si>
    <t>1-я нед. 2023</t>
  </si>
  <si>
    <t>2-я нед. 2023</t>
  </si>
  <si>
    <t>3-я нед. 2023</t>
  </si>
  <si>
    <t>4-я нед. 2023</t>
  </si>
  <si>
    <t>5-я нед. 2023</t>
  </si>
  <si>
    <t>6-я нед. 2023</t>
  </si>
  <si>
    <t>7-я нед. 2023</t>
  </si>
  <si>
    <t>8-я нед. 2023</t>
  </si>
  <si>
    <t>9-я нед. 2023</t>
  </si>
  <si>
    <t>10-я нед. 2023</t>
  </si>
  <si>
    <t>11-я нед. 2023</t>
  </si>
  <si>
    <t>12-я нед. 2023</t>
  </si>
  <si>
    <t>13-я нед. 2023</t>
  </si>
  <si>
    <t>14-я нед. 2023</t>
  </si>
  <si>
    <t>15-я нед. 2023</t>
  </si>
  <si>
    <t>16-я нед. 2023</t>
  </si>
  <si>
    <t>17-я нед. 2023</t>
  </si>
  <si>
    <t>week_year</t>
  </si>
  <si>
    <t>n_month</t>
  </si>
  <si>
    <t>month_year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</si>
  <si>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</si>
  <si>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</si>
  <si>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</si>
  <si>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</si>
  <si>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</si>
  <si>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</si>
  <si>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</si>
  <si>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</si>
  <si>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</si>
  <si>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</si>
  <si>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</si>
  <si>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</si>
  <si>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year</t>
  </si>
  <si>
    <t>date</t>
  </si>
  <si>
    <t>SFW</t>
  </si>
  <si>
    <t>SFM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</si>
</sst>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49" fontId="0" fillId="0" borderId="0" xfId="0" applyNumberFormat="1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</a:t>
            </a:r>
            <a:r>
              <a:rPr lang="ru-RU" baseline="0"/>
              <a:t> </a:t>
            </a:r>
            <a:r>
              <a:rPr lang="en-US" baseline="0"/>
              <a:t>WAU, MAU, DAU </a:t>
            </a:r>
            <a:r>
              <a:rPr lang="ru-RU" baseline="0"/>
              <a:t>в июле 2022 - апреле 2023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Overall!$I$1</c:f>
              <c:strCache>
                <c:ptCount val="1"/>
                <c:pt idx="0">
                  <c:v>wau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Overall!$E$2:$E$304</c:f>
              <c:numCache>
                <c:formatCode>m/d/yyyy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Overall!$I$2:$I$304</c:f>
              <c:numCache>
                <c:formatCode>General</c:formatCode>
                <c:ptCount val="303"/>
                <c:pt idx="0">
                  <c:v>6</c:v>
                </c:pt>
                <c:pt idx="1">
                  <c:v>6</c:v>
                </c:pt>
                <c:pt idx="2">
                  <c:v>59</c:v>
                </c:pt>
                <c:pt idx="3">
                  <c:v>59</c:v>
                </c:pt>
                <c:pt idx="4">
                  <c:v>59</c:v>
                </c:pt>
                <c:pt idx="5">
                  <c:v>59</c:v>
                </c:pt>
                <c:pt idx="6">
                  <c:v>59</c:v>
                </c:pt>
                <c:pt idx="7">
                  <c:v>59</c:v>
                </c:pt>
                <c:pt idx="8">
                  <c:v>59</c:v>
                </c:pt>
                <c:pt idx="9">
                  <c:v>92</c:v>
                </c:pt>
                <c:pt idx="10">
                  <c:v>92</c:v>
                </c:pt>
                <c:pt idx="11">
                  <c:v>92</c:v>
                </c:pt>
                <c:pt idx="12">
                  <c:v>92</c:v>
                </c:pt>
                <c:pt idx="13">
                  <c:v>92</c:v>
                </c:pt>
                <c:pt idx="14">
                  <c:v>92</c:v>
                </c:pt>
                <c:pt idx="15">
                  <c:v>92</c:v>
                </c:pt>
                <c:pt idx="16">
                  <c:v>133</c:v>
                </c:pt>
                <c:pt idx="17">
                  <c:v>133</c:v>
                </c:pt>
                <c:pt idx="18">
                  <c:v>133</c:v>
                </c:pt>
                <c:pt idx="19">
                  <c:v>133</c:v>
                </c:pt>
                <c:pt idx="20">
                  <c:v>133</c:v>
                </c:pt>
                <c:pt idx="21">
                  <c:v>133</c:v>
                </c:pt>
                <c:pt idx="22">
                  <c:v>133</c:v>
                </c:pt>
                <c:pt idx="23">
                  <c:v>183</c:v>
                </c:pt>
                <c:pt idx="24">
                  <c:v>183</c:v>
                </c:pt>
                <c:pt idx="25">
                  <c:v>183</c:v>
                </c:pt>
                <c:pt idx="26">
                  <c:v>183</c:v>
                </c:pt>
                <c:pt idx="27">
                  <c:v>183</c:v>
                </c:pt>
                <c:pt idx="28">
                  <c:v>183</c:v>
                </c:pt>
                <c:pt idx="29">
                  <c:v>183</c:v>
                </c:pt>
                <c:pt idx="30">
                  <c:v>202</c:v>
                </c:pt>
                <c:pt idx="31">
                  <c:v>202</c:v>
                </c:pt>
                <c:pt idx="32">
                  <c:v>202</c:v>
                </c:pt>
                <c:pt idx="33">
                  <c:v>202</c:v>
                </c:pt>
                <c:pt idx="34">
                  <c:v>202</c:v>
                </c:pt>
                <c:pt idx="35">
                  <c:v>202</c:v>
                </c:pt>
                <c:pt idx="36">
                  <c:v>202</c:v>
                </c:pt>
                <c:pt idx="37">
                  <c:v>193</c:v>
                </c:pt>
                <c:pt idx="38">
                  <c:v>193</c:v>
                </c:pt>
                <c:pt idx="39">
                  <c:v>193</c:v>
                </c:pt>
                <c:pt idx="40">
                  <c:v>193</c:v>
                </c:pt>
                <c:pt idx="41">
                  <c:v>193</c:v>
                </c:pt>
                <c:pt idx="42">
                  <c:v>193</c:v>
                </c:pt>
                <c:pt idx="43">
                  <c:v>193</c:v>
                </c:pt>
                <c:pt idx="44">
                  <c:v>201</c:v>
                </c:pt>
                <c:pt idx="45">
                  <c:v>201</c:v>
                </c:pt>
                <c:pt idx="46">
                  <c:v>201</c:v>
                </c:pt>
                <c:pt idx="47">
                  <c:v>201</c:v>
                </c:pt>
                <c:pt idx="48">
                  <c:v>201</c:v>
                </c:pt>
                <c:pt idx="49">
                  <c:v>201</c:v>
                </c:pt>
                <c:pt idx="50">
                  <c:v>201</c:v>
                </c:pt>
                <c:pt idx="51">
                  <c:v>206</c:v>
                </c:pt>
                <c:pt idx="52">
                  <c:v>206</c:v>
                </c:pt>
                <c:pt idx="53">
                  <c:v>206</c:v>
                </c:pt>
                <c:pt idx="54">
                  <c:v>206</c:v>
                </c:pt>
                <c:pt idx="55">
                  <c:v>206</c:v>
                </c:pt>
                <c:pt idx="56">
                  <c:v>206</c:v>
                </c:pt>
                <c:pt idx="57">
                  <c:v>206</c:v>
                </c:pt>
                <c:pt idx="58">
                  <c:v>192</c:v>
                </c:pt>
                <c:pt idx="59">
                  <c:v>192</c:v>
                </c:pt>
                <c:pt idx="60">
                  <c:v>192</c:v>
                </c:pt>
                <c:pt idx="61">
                  <c:v>192</c:v>
                </c:pt>
                <c:pt idx="62">
                  <c:v>192</c:v>
                </c:pt>
                <c:pt idx="63">
                  <c:v>192</c:v>
                </c:pt>
                <c:pt idx="64">
                  <c:v>192</c:v>
                </c:pt>
                <c:pt idx="65">
                  <c:v>196</c:v>
                </c:pt>
                <c:pt idx="66">
                  <c:v>196</c:v>
                </c:pt>
                <c:pt idx="67">
                  <c:v>196</c:v>
                </c:pt>
                <c:pt idx="68">
                  <c:v>196</c:v>
                </c:pt>
                <c:pt idx="69">
                  <c:v>196</c:v>
                </c:pt>
                <c:pt idx="70">
                  <c:v>196</c:v>
                </c:pt>
                <c:pt idx="71">
                  <c:v>196</c:v>
                </c:pt>
                <c:pt idx="72">
                  <c:v>205</c:v>
                </c:pt>
                <c:pt idx="73">
                  <c:v>205</c:v>
                </c:pt>
                <c:pt idx="74">
                  <c:v>205</c:v>
                </c:pt>
                <c:pt idx="75">
                  <c:v>205</c:v>
                </c:pt>
                <c:pt idx="76">
                  <c:v>205</c:v>
                </c:pt>
                <c:pt idx="77">
                  <c:v>205</c:v>
                </c:pt>
                <c:pt idx="78">
                  <c:v>205</c:v>
                </c:pt>
                <c:pt idx="79">
                  <c:v>213</c:v>
                </c:pt>
                <c:pt idx="80">
                  <c:v>213</c:v>
                </c:pt>
                <c:pt idx="81">
                  <c:v>213</c:v>
                </c:pt>
                <c:pt idx="82">
                  <c:v>213</c:v>
                </c:pt>
                <c:pt idx="83">
                  <c:v>213</c:v>
                </c:pt>
                <c:pt idx="84">
                  <c:v>213</c:v>
                </c:pt>
                <c:pt idx="85">
                  <c:v>213</c:v>
                </c:pt>
                <c:pt idx="86">
                  <c:v>208</c:v>
                </c:pt>
                <c:pt idx="87">
                  <c:v>208</c:v>
                </c:pt>
                <c:pt idx="88">
                  <c:v>208</c:v>
                </c:pt>
                <c:pt idx="89">
                  <c:v>208</c:v>
                </c:pt>
                <c:pt idx="90">
                  <c:v>208</c:v>
                </c:pt>
                <c:pt idx="91">
                  <c:v>208</c:v>
                </c:pt>
                <c:pt idx="92">
                  <c:v>208</c:v>
                </c:pt>
                <c:pt idx="93">
                  <c:v>207</c:v>
                </c:pt>
                <c:pt idx="94">
                  <c:v>207</c:v>
                </c:pt>
                <c:pt idx="95">
                  <c:v>207</c:v>
                </c:pt>
                <c:pt idx="96">
                  <c:v>207</c:v>
                </c:pt>
                <c:pt idx="97">
                  <c:v>207</c:v>
                </c:pt>
                <c:pt idx="98">
                  <c:v>207</c:v>
                </c:pt>
                <c:pt idx="99">
                  <c:v>207</c:v>
                </c:pt>
                <c:pt idx="100">
                  <c:v>204</c:v>
                </c:pt>
                <c:pt idx="101">
                  <c:v>204</c:v>
                </c:pt>
                <c:pt idx="102">
                  <c:v>204</c:v>
                </c:pt>
                <c:pt idx="103">
                  <c:v>204</c:v>
                </c:pt>
                <c:pt idx="104">
                  <c:v>204</c:v>
                </c:pt>
                <c:pt idx="105">
                  <c:v>204</c:v>
                </c:pt>
                <c:pt idx="106">
                  <c:v>204</c:v>
                </c:pt>
                <c:pt idx="107">
                  <c:v>201</c:v>
                </c:pt>
                <c:pt idx="108">
                  <c:v>201</c:v>
                </c:pt>
                <c:pt idx="109">
                  <c:v>201</c:v>
                </c:pt>
                <c:pt idx="110">
                  <c:v>201</c:v>
                </c:pt>
                <c:pt idx="111">
                  <c:v>201</c:v>
                </c:pt>
                <c:pt idx="112">
                  <c:v>201</c:v>
                </c:pt>
                <c:pt idx="113">
                  <c:v>201</c:v>
                </c:pt>
                <c:pt idx="114">
                  <c:v>213</c:v>
                </c:pt>
                <c:pt idx="115">
                  <c:v>213</c:v>
                </c:pt>
                <c:pt idx="116">
                  <c:v>213</c:v>
                </c:pt>
                <c:pt idx="117">
                  <c:v>213</c:v>
                </c:pt>
                <c:pt idx="118">
                  <c:v>213</c:v>
                </c:pt>
                <c:pt idx="119">
                  <c:v>213</c:v>
                </c:pt>
                <c:pt idx="120">
                  <c:v>213</c:v>
                </c:pt>
                <c:pt idx="121">
                  <c:v>214</c:v>
                </c:pt>
                <c:pt idx="122">
                  <c:v>214</c:v>
                </c:pt>
                <c:pt idx="123">
                  <c:v>214</c:v>
                </c:pt>
                <c:pt idx="124">
                  <c:v>214</c:v>
                </c:pt>
                <c:pt idx="125">
                  <c:v>214</c:v>
                </c:pt>
                <c:pt idx="126">
                  <c:v>214</c:v>
                </c:pt>
                <c:pt idx="127">
                  <c:v>214</c:v>
                </c:pt>
                <c:pt idx="128">
                  <c:v>203</c:v>
                </c:pt>
                <c:pt idx="129">
                  <c:v>203</c:v>
                </c:pt>
                <c:pt idx="130">
                  <c:v>203</c:v>
                </c:pt>
                <c:pt idx="131">
                  <c:v>203</c:v>
                </c:pt>
                <c:pt idx="132">
                  <c:v>203</c:v>
                </c:pt>
                <c:pt idx="133">
                  <c:v>203</c:v>
                </c:pt>
                <c:pt idx="134">
                  <c:v>203</c:v>
                </c:pt>
                <c:pt idx="135">
                  <c:v>202</c:v>
                </c:pt>
                <c:pt idx="136">
                  <c:v>202</c:v>
                </c:pt>
                <c:pt idx="137">
                  <c:v>202</c:v>
                </c:pt>
                <c:pt idx="138">
                  <c:v>202</c:v>
                </c:pt>
                <c:pt idx="139">
                  <c:v>202</c:v>
                </c:pt>
                <c:pt idx="140">
                  <c:v>202</c:v>
                </c:pt>
                <c:pt idx="141">
                  <c:v>202</c:v>
                </c:pt>
                <c:pt idx="142">
                  <c:v>167</c:v>
                </c:pt>
                <c:pt idx="143">
                  <c:v>167</c:v>
                </c:pt>
                <c:pt idx="144">
                  <c:v>167</c:v>
                </c:pt>
                <c:pt idx="145">
                  <c:v>167</c:v>
                </c:pt>
                <c:pt idx="146">
                  <c:v>167</c:v>
                </c:pt>
                <c:pt idx="147">
                  <c:v>167</c:v>
                </c:pt>
                <c:pt idx="148">
                  <c:v>167</c:v>
                </c:pt>
                <c:pt idx="149">
                  <c:v>157</c:v>
                </c:pt>
                <c:pt idx="150">
                  <c:v>157</c:v>
                </c:pt>
                <c:pt idx="151">
                  <c:v>157</c:v>
                </c:pt>
                <c:pt idx="152">
                  <c:v>157</c:v>
                </c:pt>
                <c:pt idx="153">
                  <c:v>157</c:v>
                </c:pt>
                <c:pt idx="154">
                  <c:v>157</c:v>
                </c:pt>
                <c:pt idx="155">
                  <c:v>157</c:v>
                </c:pt>
                <c:pt idx="156">
                  <c:v>156</c:v>
                </c:pt>
                <c:pt idx="157">
                  <c:v>156</c:v>
                </c:pt>
                <c:pt idx="158">
                  <c:v>156</c:v>
                </c:pt>
                <c:pt idx="159">
                  <c:v>156</c:v>
                </c:pt>
                <c:pt idx="160">
                  <c:v>156</c:v>
                </c:pt>
                <c:pt idx="161">
                  <c:v>156</c:v>
                </c:pt>
                <c:pt idx="162">
                  <c:v>156</c:v>
                </c:pt>
                <c:pt idx="163">
                  <c:v>153</c:v>
                </c:pt>
                <c:pt idx="164">
                  <c:v>153</c:v>
                </c:pt>
                <c:pt idx="165">
                  <c:v>153</c:v>
                </c:pt>
                <c:pt idx="166">
                  <c:v>153</c:v>
                </c:pt>
                <c:pt idx="167">
                  <c:v>153</c:v>
                </c:pt>
                <c:pt idx="168">
                  <c:v>153</c:v>
                </c:pt>
                <c:pt idx="169">
                  <c:v>153</c:v>
                </c:pt>
                <c:pt idx="170">
                  <c:v>145</c:v>
                </c:pt>
                <c:pt idx="171">
                  <c:v>145</c:v>
                </c:pt>
                <c:pt idx="172">
                  <c:v>145</c:v>
                </c:pt>
                <c:pt idx="173">
                  <c:v>145</c:v>
                </c:pt>
                <c:pt idx="174">
                  <c:v>145</c:v>
                </c:pt>
                <c:pt idx="175">
                  <c:v>145</c:v>
                </c:pt>
                <c:pt idx="176">
                  <c:v>145</c:v>
                </c:pt>
                <c:pt idx="177">
                  <c:v>141</c:v>
                </c:pt>
                <c:pt idx="178">
                  <c:v>141</c:v>
                </c:pt>
                <c:pt idx="179">
                  <c:v>141</c:v>
                </c:pt>
                <c:pt idx="180">
                  <c:v>141</c:v>
                </c:pt>
                <c:pt idx="181">
                  <c:v>141</c:v>
                </c:pt>
                <c:pt idx="182">
                  <c:v>141</c:v>
                </c:pt>
                <c:pt idx="183">
                  <c:v>141</c:v>
                </c:pt>
                <c:pt idx="184">
                  <c:v>190</c:v>
                </c:pt>
                <c:pt idx="185">
                  <c:v>190</c:v>
                </c:pt>
                <c:pt idx="186">
                  <c:v>190</c:v>
                </c:pt>
                <c:pt idx="187">
                  <c:v>190</c:v>
                </c:pt>
                <c:pt idx="188">
                  <c:v>190</c:v>
                </c:pt>
                <c:pt idx="189">
                  <c:v>190</c:v>
                </c:pt>
                <c:pt idx="190">
                  <c:v>190</c:v>
                </c:pt>
                <c:pt idx="191">
                  <c:v>233</c:v>
                </c:pt>
                <c:pt idx="192">
                  <c:v>233</c:v>
                </c:pt>
                <c:pt idx="193">
                  <c:v>233</c:v>
                </c:pt>
                <c:pt idx="194">
                  <c:v>233</c:v>
                </c:pt>
                <c:pt idx="195">
                  <c:v>233</c:v>
                </c:pt>
                <c:pt idx="196">
                  <c:v>233</c:v>
                </c:pt>
                <c:pt idx="197">
                  <c:v>233</c:v>
                </c:pt>
                <c:pt idx="198">
                  <c:v>272</c:v>
                </c:pt>
                <c:pt idx="199">
                  <c:v>272</c:v>
                </c:pt>
                <c:pt idx="200">
                  <c:v>272</c:v>
                </c:pt>
                <c:pt idx="201">
                  <c:v>272</c:v>
                </c:pt>
                <c:pt idx="202">
                  <c:v>272</c:v>
                </c:pt>
                <c:pt idx="203">
                  <c:v>272</c:v>
                </c:pt>
                <c:pt idx="204">
                  <c:v>272</c:v>
                </c:pt>
                <c:pt idx="205">
                  <c:v>295</c:v>
                </c:pt>
                <c:pt idx="206">
                  <c:v>295</c:v>
                </c:pt>
                <c:pt idx="207">
                  <c:v>295</c:v>
                </c:pt>
                <c:pt idx="208">
                  <c:v>295</c:v>
                </c:pt>
                <c:pt idx="209">
                  <c:v>295</c:v>
                </c:pt>
                <c:pt idx="210">
                  <c:v>295</c:v>
                </c:pt>
                <c:pt idx="211">
                  <c:v>295</c:v>
                </c:pt>
                <c:pt idx="212">
                  <c:v>346</c:v>
                </c:pt>
                <c:pt idx="213">
                  <c:v>346</c:v>
                </c:pt>
                <c:pt idx="214">
                  <c:v>346</c:v>
                </c:pt>
                <c:pt idx="215">
                  <c:v>346</c:v>
                </c:pt>
                <c:pt idx="216">
                  <c:v>346</c:v>
                </c:pt>
                <c:pt idx="217">
                  <c:v>346</c:v>
                </c:pt>
                <c:pt idx="218">
                  <c:v>346</c:v>
                </c:pt>
                <c:pt idx="219">
                  <c:v>340</c:v>
                </c:pt>
                <c:pt idx="220">
                  <c:v>340</c:v>
                </c:pt>
                <c:pt idx="221">
                  <c:v>340</c:v>
                </c:pt>
                <c:pt idx="222">
                  <c:v>340</c:v>
                </c:pt>
                <c:pt idx="223">
                  <c:v>340</c:v>
                </c:pt>
                <c:pt idx="224">
                  <c:v>340</c:v>
                </c:pt>
                <c:pt idx="225">
                  <c:v>340</c:v>
                </c:pt>
                <c:pt idx="226">
                  <c:v>347</c:v>
                </c:pt>
                <c:pt idx="227">
                  <c:v>347</c:v>
                </c:pt>
                <c:pt idx="228">
                  <c:v>347</c:v>
                </c:pt>
                <c:pt idx="229">
                  <c:v>347</c:v>
                </c:pt>
                <c:pt idx="230">
                  <c:v>347</c:v>
                </c:pt>
                <c:pt idx="231">
                  <c:v>347</c:v>
                </c:pt>
                <c:pt idx="232">
                  <c:v>347</c:v>
                </c:pt>
                <c:pt idx="233">
                  <c:v>384</c:v>
                </c:pt>
                <c:pt idx="234">
                  <c:v>384</c:v>
                </c:pt>
                <c:pt idx="235">
                  <c:v>384</c:v>
                </c:pt>
                <c:pt idx="236">
                  <c:v>384</c:v>
                </c:pt>
                <c:pt idx="237">
                  <c:v>384</c:v>
                </c:pt>
                <c:pt idx="238">
                  <c:v>384</c:v>
                </c:pt>
                <c:pt idx="239">
                  <c:v>384</c:v>
                </c:pt>
                <c:pt idx="240">
                  <c:v>611</c:v>
                </c:pt>
                <c:pt idx="241">
                  <c:v>611</c:v>
                </c:pt>
                <c:pt idx="242">
                  <c:v>611</c:v>
                </c:pt>
                <c:pt idx="243">
                  <c:v>611</c:v>
                </c:pt>
                <c:pt idx="244">
                  <c:v>611</c:v>
                </c:pt>
                <c:pt idx="245">
                  <c:v>611</c:v>
                </c:pt>
                <c:pt idx="246">
                  <c:v>611</c:v>
                </c:pt>
                <c:pt idx="247">
                  <c:v>712</c:v>
                </c:pt>
                <c:pt idx="248">
                  <c:v>712</c:v>
                </c:pt>
                <c:pt idx="249">
                  <c:v>712</c:v>
                </c:pt>
                <c:pt idx="250">
                  <c:v>712</c:v>
                </c:pt>
                <c:pt idx="251">
                  <c:v>712</c:v>
                </c:pt>
                <c:pt idx="252">
                  <c:v>712</c:v>
                </c:pt>
                <c:pt idx="253">
                  <c:v>712</c:v>
                </c:pt>
                <c:pt idx="254">
                  <c:v>772</c:v>
                </c:pt>
                <c:pt idx="255">
                  <c:v>772</c:v>
                </c:pt>
                <c:pt idx="256">
                  <c:v>772</c:v>
                </c:pt>
                <c:pt idx="257">
                  <c:v>772</c:v>
                </c:pt>
                <c:pt idx="258">
                  <c:v>772</c:v>
                </c:pt>
                <c:pt idx="259">
                  <c:v>772</c:v>
                </c:pt>
                <c:pt idx="260">
                  <c:v>772</c:v>
                </c:pt>
                <c:pt idx="261">
                  <c:v>656</c:v>
                </c:pt>
                <c:pt idx="262">
                  <c:v>656</c:v>
                </c:pt>
                <c:pt idx="263">
                  <c:v>656</c:v>
                </c:pt>
                <c:pt idx="264">
                  <c:v>656</c:v>
                </c:pt>
                <c:pt idx="265">
                  <c:v>656</c:v>
                </c:pt>
                <c:pt idx="266">
                  <c:v>656</c:v>
                </c:pt>
                <c:pt idx="267">
                  <c:v>656</c:v>
                </c:pt>
                <c:pt idx="268">
                  <c:v>661</c:v>
                </c:pt>
                <c:pt idx="269">
                  <c:v>661</c:v>
                </c:pt>
                <c:pt idx="270">
                  <c:v>661</c:v>
                </c:pt>
                <c:pt idx="271">
                  <c:v>661</c:v>
                </c:pt>
                <c:pt idx="272">
                  <c:v>661</c:v>
                </c:pt>
                <c:pt idx="273">
                  <c:v>661</c:v>
                </c:pt>
                <c:pt idx="274">
                  <c:v>661</c:v>
                </c:pt>
                <c:pt idx="275">
                  <c:v>699</c:v>
                </c:pt>
                <c:pt idx="276">
                  <c:v>699</c:v>
                </c:pt>
                <c:pt idx="277">
                  <c:v>699</c:v>
                </c:pt>
                <c:pt idx="278">
                  <c:v>699</c:v>
                </c:pt>
                <c:pt idx="279">
                  <c:v>699</c:v>
                </c:pt>
                <c:pt idx="280">
                  <c:v>699</c:v>
                </c:pt>
                <c:pt idx="281">
                  <c:v>699</c:v>
                </c:pt>
                <c:pt idx="282">
                  <c:v>614</c:v>
                </c:pt>
                <c:pt idx="283">
                  <c:v>614</c:v>
                </c:pt>
                <c:pt idx="284">
                  <c:v>614</c:v>
                </c:pt>
                <c:pt idx="285">
                  <c:v>614</c:v>
                </c:pt>
                <c:pt idx="286">
                  <c:v>614</c:v>
                </c:pt>
                <c:pt idx="287">
                  <c:v>614</c:v>
                </c:pt>
                <c:pt idx="288">
                  <c:v>614</c:v>
                </c:pt>
                <c:pt idx="289">
                  <c:v>545</c:v>
                </c:pt>
                <c:pt idx="290">
                  <c:v>545</c:v>
                </c:pt>
                <c:pt idx="291">
                  <c:v>545</c:v>
                </c:pt>
                <c:pt idx="292">
                  <c:v>545</c:v>
                </c:pt>
                <c:pt idx="293">
                  <c:v>545</c:v>
                </c:pt>
                <c:pt idx="294">
                  <c:v>545</c:v>
                </c:pt>
                <c:pt idx="295">
                  <c:v>545</c:v>
                </c:pt>
                <c:pt idx="296">
                  <c:v>422</c:v>
                </c:pt>
                <c:pt idx="297">
                  <c:v>422</c:v>
                </c:pt>
                <c:pt idx="298">
                  <c:v>422</c:v>
                </c:pt>
                <c:pt idx="299">
                  <c:v>422</c:v>
                </c:pt>
                <c:pt idx="300">
                  <c:v>422</c:v>
                </c:pt>
                <c:pt idx="301">
                  <c:v>422</c:v>
                </c:pt>
                <c:pt idx="302">
                  <c:v>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BD-4A35-A534-2FD4641D1975}"/>
            </c:ext>
          </c:extLst>
        </c:ser>
        <c:ser>
          <c:idx val="2"/>
          <c:order val="2"/>
          <c:tx>
            <c:strRef>
              <c:f>Overall!$J$1</c:f>
              <c:strCache>
                <c:ptCount val="1"/>
                <c:pt idx="0">
                  <c:v>mau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Overall!$E$2:$E$304</c:f>
              <c:numCache>
                <c:formatCode>m/d/yyyy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Overall!$J$2:$J$304</c:f>
              <c:numCache>
                <c:formatCode>General</c:formatCode>
                <c:ptCount val="303"/>
                <c:pt idx="0">
                  <c:v>193</c:v>
                </c:pt>
                <c:pt idx="1">
                  <c:v>193</c:v>
                </c:pt>
                <c:pt idx="2">
                  <c:v>193</c:v>
                </c:pt>
                <c:pt idx="3">
                  <c:v>193</c:v>
                </c:pt>
                <c:pt idx="4">
                  <c:v>193</c:v>
                </c:pt>
                <c:pt idx="5">
                  <c:v>193</c:v>
                </c:pt>
                <c:pt idx="6">
                  <c:v>193</c:v>
                </c:pt>
                <c:pt idx="7">
                  <c:v>193</c:v>
                </c:pt>
                <c:pt idx="8">
                  <c:v>193</c:v>
                </c:pt>
                <c:pt idx="9">
                  <c:v>193</c:v>
                </c:pt>
                <c:pt idx="10">
                  <c:v>193</c:v>
                </c:pt>
                <c:pt idx="11">
                  <c:v>193</c:v>
                </c:pt>
                <c:pt idx="12">
                  <c:v>193</c:v>
                </c:pt>
                <c:pt idx="13">
                  <c:v>193</c:v>
                </c:pt>
                <c:pt idx="14">
                  <c:v>193</c:v>
                </c:pt>
                <c:pt idx="15">
                  <c:v>193</c:v>
                </c:pt>
                <c:pt idx="16">
                  <c:v>193</c:v>
                </c:pt>
                <c:pt idx="17">
                  <c:v>193</c:v>
                </c:pt>
                <c:pt idx="18">
                  <c:v>193</c:v>
                </c:pt>
                <c:pt idx="19">
                  <c:v>193</c:v>
                </c:pt>
                <c:pt idx="20">
                  <c:v>193</c:v>
                </c:pt>
                <c:pt idx="21">
                  <c:v>193</c:v>
                </c:pt>
                <c:pt idx="22">
                  <c:v>193</c:v>
                </c:pt>
                <c:pt idx="23">
                  <c:v>193</c:v>
                </c:pt>
                <c:pt idx="24">
                  <c:v>193</c:v>
                </c:pt>
                <c:pt idx="25">
                  <c:v>193</c:v>
                </c:pt>
                <c:pt idx="26">
                  <c:v>193</c:v>
                </c:pt>
                <c:pt idx="27">
                  <c:v>193</c:v>
                </c:pt>
                <c:pt idx="28">
                  <c:v>193</c:v>
                </c:pt>
                <c:pt idx="29">
                  <c:v>193</c:v>
                </c:pt>
                <c:pt idx="30">
                  <c:v>366</c:v>
                </c:pt>
                <c:pt idx="31">
                  <c:v>366</c:v>
                </c:pt>
                <c:pt idx="32">
                  <c:v>366</c:v>
                </c:pt>
                <c:pt idx="33">
                  <c:v>366</c:v>
                </c:pt>
                <c:pt idx="34">
                  <c:v>366</c:v>
                </c:pt>
                <c:pt idx="35">
                  <c:v>366</c:v>
                </c:pt>
                <c:pt idx="36">
                  <c:v>366</c:v>
                </c:pt>
                <c:pt idx="37">
                  <c:v>366</c:v>
                </c:pt>
                <c:pt idx="38">
                  <c:v>366</c:v>
                </c:pt>
                <c:pt idx="39">
                  <c:v>366</c:v>
                </c:pt>
                <c:pt idx="40">
                  <c:v>366</c:v>
                </c:pt>
                <c:pt idx="41">
                  <c:v>366</c:v>
                </c:pt>
                <c:pt idx="42">
                  <c:v>366</c:v>
                </c:pt>
                <c:pt idx="43">
                  <c:v>366</c:v>
                </c:pt>
                <c:pt idx="44">
                  <c:v>366</c:v>
                </c:pt>
                <c:pt idx="45">
                  <c:v>366</c:v>
                </c:pt>
                <c:pt idx="46">
                  <c:v>366</c:v>
                </c:pt>
                <c:pt idx="47">
                  <c:v>366</c:v>
                </c:pt>
                <c:pt idx="48">
                  <c:v>366</c:v>
                </c:pt>
                <c:pt idx="49">
                  <c:v>366</c:v>
                </c:pt>
                <c:pt idx="50">
                  <c:v>366</c:v>
                </c:pt>
                <c:pt idx="51">
                  <c:v>366</c:v>
                </c:pt>
                <c:pt idx="52">
                  <c:v>366</c:v>
                </c:pt>
                <c:pt idx="53">
                  <c:v>366</c:v>
                </c:pt>
                <c:pt idx="54">
                  <c:v>366</c:v>
                </c:pt>
                <c:pt idx="55">
                  <c:v>366</c:v>
                </c:pt>
                <c:pt idx="56">
                  <c:v>366</c:v>
                </c:pt>
                <c:pt idx="57">
                  <c:v>366</c:v>
                </c:pt>
                <c:pt idx="58">
                  <c:v>366</c:v>
                </c:pt>
                <c:pt idx="59">
                  <c:v>366</c:v>
                </c:pt>
                <c:pt idx="60">
                  <c:v>366</c:v>
                </c:pt>
                <c:pt idx="61">
                  <c:v>378</c:v>
                </c:pt>
                <c:pt idx="62">
                  <c:v>378</c:v>
                </c:pt>
                <c:pt idx="63">
                  <c:v>378</c:v>
                </c:pt>
                <c:pt idx="64">
                  <c:v>378</c:v>
                </c:pt>
                <c:pt idx="65">
                  <c:v>378</c:v>
                </c:pt>
                <c:pt idx="66">
                  <c:v>378</c:v>
                </c:pt>
                <c:pt idx="67">
                  <c:v>378</c:v>
                </c:pt>
                <c:pt idx="68">
                  <c:v>378</c:v>
                </c:pt>
                <c:pt idx="69">
                  <c:v>378</c:v>
                </c:pt>
                <c:pt idx="70">
                  <c:v>378</c:v>
                </c:pt>
                <c:pt idx="71">
                  <c:v>378</c:v>
                </c:pt>
                <c:pt idx="72">
                  <c:v>378</c:v>
                </c:pt>
                <c:pt idx="73">
                  <c:v>378</c:v>
                </c:pt>
                <c:pt idx="74">
                  <c:v>378</c:v>
                </c:pt>
                <c:pt idx="75">
                  <c:v>378</c:v>
                </c:pt>
                <c:pt idx="76">
                  <c:v>378</c:v>
                </c:pt>
                <c:pt idx="77">
                  <c:v>378</c:v>
                </c:pt>
                <c:pt idx="78">
                  <c:v>378</c:v>
                </c:pt>
                <c:pt idx="79">
                  <c:v>378</c:v>
                </c:pt>
                <c:pt idx="80">
                  <c:v>378</c:v>
                </c:pt>
                <c:pt idx="81">
                  <c:v>378</c:v>
                </c:pt>
                <c:pt idx="82">
                  <c:v>378</c:v>
                </c:pt>
                <c:pt idx="83">
                  <c:v>378</c:v>
                </c:pt>
                <c:pt idx="84">
                  <c:v>378</c:v>
                </c:pt>
                <c:pt idx="85">
                  <c:v>378</c:v>
                </c:pt>
                <c:pt idx="86">
                  <c:v>378</c:v>
                </c:pt>
                <c:pt idx="87">
                  <c:v>378</c:v>
                </c:pt>
                <c:pt idx="88">
                  <c:v>378</c:v>
                </c:pt>
                <c:pt idx="89">
                  <c:v>378</c:v>
                </c:pt>
                <c:pt idx="90">
                  <c:v>378</c:v>
                </c:pt>
                <c:pt idx="91">
                  <c:v>393</c:v>
                </c:pt>
                <c:pt idx="92">
                  <c:v>393</c:v>
                </c:pt>
                <c:pt idx="93">
                  <c:v>393</c:v>
                </c:pt>
                <c:pt idx="94">
                  <c:v>393</c:v>
                </c:pt>
                <c:pt idx="95">
                  <c:v>393</c:v>
                </c:pt>
                <c:pt idx="96">
                  <c:v>393</c:v>
                </c:pt>
                <c:pt idx="97">
                  <c:v>393</c:v>
                </c:pt>
                <c:pt idx="98">
                  <c:v>393</c:v>
                </c:pt>
                <c:pt idx="99">
                  <c:v>393</c:v>
                </c:pt>
                <c:pt idx="100">
                  <c:v>393</c:v>
                </c:pt>
                <c:pt idx="101">
                  <c:v>393</c:v>
                </c:pt>
                <c:pt idx="102">
                  <c:v>393</c:v>
                </c:pt>
                <c:pt idx="103">
                  <c:v>393</c:v>
                </c:pt>
                <c:pt idx="104">
                  <c:v>393</c:v>
                </c:pt>
                <c:pt idx="105">
                  <c:v>393</c:v>
                </c:pt>
                <c:pt idx="106">
                  <c:v>393</c:v>
                </c:pt>
                <c:pt idx="107">
                  <c:v>393</c:v>
                </c:pt>
                <c:pt idx="108">
                  <c:v>393</c:v>
                </c:pt>
                <c:pt idx="109">
                  <c:v>393</c:v>
                </c:pt>
                <c:pt idx="110">
                  <c:v>393</c:v>
                </c:pt>
                <c:pt idx="111">
                  <c:v>393</c:v>
                </c:pt>
                <c:pt idx="112">
                  <c:v>393</c:v>
                </c:pt>
                <c:pt idx="113">
                  <c:v>393</c:v>
                </c:pt>
                <c:pt idx="114">
                  <c:v>393</c:v>
                </c:pt>
                <c:pt idx="115">
                  <c:v>393</c:v>
                </c:pt>
                <c:pt idx="116">
                  <c:v>393</c:v>
                </c:pt>
                <c:pt idx="117">
                  <c:v>393</c:v>
                </c:pt>
                <c:pt idx="118">
                  <c:v>393</c:v>
                </c:pt>
                <c:pt idx="119">
                  <c:v>393</c:v>
                </c:pt>
                <c:pt idx="120">
                  <c:v>393</c:v>
                </c:pt>
                <c:pt idx="121">
                  <c:v>393</c:v>
                </c:pt>
                <c:pt idx="122">
                  <c:v>426</c:v>
                </c:pt>
                <c:pt idx="123">
                  <c:v>426</c:v>
                </c:pt>
                <c:pt idx="124">
                  <c:v>426</c:v>
                </c:pt>
                <c:pt idx="125">
                  <c:v>426</c:v>
                </c:pt>
                <c:pt idx="126">
                  <c:v>426</c:v>
                </c:pt>
                <c:pt idx="127">
                  <c:v>426</c:v>
                </c:pt>
                <c:pt idx="128">
                  <c:v>426</c:v>
                </c:pt>
                <c:pt idx="129">
                  <c:v>426</c:v>
                </c:pt>
                <c:pt idx="130">
                  <c:v>426</c:v>
                </c:pt>
                <c:pt idx="131">
                  <c:v>426</c:v>
                </c:pt>
                <c:pt idx="132">
                  <c:v>426</c:v>
                </c:pt>
                <c:pt idx="133">
                  <c:v>426</c:v>
                </c:pt>
                <c:pt idx="134">
                  <c:v>426</c:v>
                </c:pt>
                <c:pt idx="135">
                  <c:v>426</c:v>
                </c:pt>
                <c:pt idx="136">
                  <c:v>426</c:v>
                </c:pt>
                <c:pt idx="137">
                  <c:v>426</c:v>
                </c:pt>
                <c:pt idx="138">
                  <c:v>426</c:v>
                </c:pt>
                <c:pt idx="139">
                  <c:v>426</c:v>
                </c:pt>
                <c:pt idx="140">
                  <c:v>426</c:v>
                </c:pt>
                <c:pt idx="141">
                  <c:v>426</c:v>
                </c:pt>
                <c:pt idx="142">
                  <c:v>426</c:v>
                </c:pt>
                <c:pt idx="143">
                  <c:v>426</c:v>
                </c:pt>
                <c:pt idx="144">
                  <c:v>426</c:v>
                </c:pt>
                <c:pt idx="145">
                  <c:v>426</c:v>
                </c:pt>
                <c:pt idx="146">
                  <c:v>426</c:v>
                </c:pt>
                <c:pt idx="147">
                  <c:v>426</c:v>
                </c:pt>
                <c:pt idx="148">
                  <c:v>426</c:v>
                </c:pt>
                <c:pt idx="149">
                  <c:v>426</c:v>
                </c:pt>
                <c:pt idx="150">
                  <c:v>426</c:v>
                </c:pt>
                <c:pt idx="151">
                  <c:v>426</c:v>
                </c:pt>
                <c:pt idx="152">
                  <c:v>390</c:v>
                </c:pt>
                <c:pt idx="153">
                  <c:v>390</c:v>
                </c:pt>
                <c:pt idx="154">
                  <c:v>390</c:v>
                </c:pt>
                <c:pt idx="155">
                  <c:v>390</c:v>
                </c:pt>
                <c:pt idx="156">
                  <c:v>390</c:v>
                </c:pt>
                <c:pt idx="157">
                  <c:v>390</c:v>
                </c:pt>
                <c:pt idx="158">
                  <c:v>390</c:v>
                </c:pt>
                <c:pt idx="159">
                  <c:v>390</c:v>
                </c:pt>
                <c:pt idx="160">
                  <c:v>390</c:v>
                </c:pt>
                <c:pt idx="161">
                  <c:v>390</c:v>
                </c:pt>
                <c:pt idx="162">
                  <c:v>390</c:v>
                </c:pt>
                <c:pt idx="163">
                  <c:v>390</c:v>
                </c:pt>
                <c:pt idx="164">
                  <c:v>390</c:v>
                </c:pt>
                <c:pt idx="165">
                  <c:v>390</c:v>
                </c:pt>
                <c:pt idx="166">
                  <c:v>390</c:v>
                </c:pt>
                <c:pt idx="167">
                  <c:v>390</c:v>
                </c:pt>
                <c:pt idx="168">
                  <c:v>390</c:v>
                </c:pt>
                <c:pt idx="169">
                  <c:v>390</c:v>
                </c:pt>
                <c:pt idx="170">
                  <c:v>390</c:v>
                </c:pt>
                <c:pt idx="171">
                  <c:v>390</c:v>
                </c:pt>
                <c:pt idx="172">
                  <c:v>390</c:v>
                </c:pt>
                <c:pt idx="173">
                  <c:v>390</c:v>
                </c:pt>
                <c:pt idx="174">
                  <c:v>390</c:v>
                </c:pt>
                <c:pt idx="175">
                  <c:v>390</c:v>
                </c:pt>
                <c:pt idx="176">
                  <c:v>390</c:v>
                </c:pt>
                <c:pt idx="177">
                  <c:v>390</c:v>
                </c:pt>
                <c:pt idx="178">
                  <c:v>390</c:v>
                </c:pt>
                <c:pt idx="179">
                  <c:v>390</c:v>
                </c:pt>
                <c:pt idx="180">
                  <c:v>390</c:v>
                </c:pt>
                <c:pt idx="181">
                  <c:v>390</c:v>
                </c:pt>
                <c:pt idx="182">
                  <c:v>390</c:v>
                </c:pt>
                <c:pt idx="183">
                  <c:v>536</c:v>
                </c:pt>
                <c:pt idx="184">
                  <c:v>536</c:v>
                </c:pt>
                <c:pt idx="185">
                  <c:v>536</c:v>
                </c:pt>
                <c:pt idx="186">
                  <c:v>536</c:v>
                </c:pt>
                <c:pt idx="187">
                  <c:v>536</c:v>
                </c:pt>
                <c:pt idx="188">
                  <c:v>536</c:v>
                </c:pt>
                <c:pt idx="189">
                  <c:v>536</c:v>
                </c:pt>
                <c:pt idx="190">
                  <c:v>536</c:v>
                </c:pt>
                <c:pt idx="191">
                  <c:v>536</c:v>
                </c:pt>
                <c:pt idx="192">
                  <c:v>536</c:v>
                </c:pt>
                <c:pt idx="193">
                  <c:v>536</c:v>
                </c:pt>
                <c:pt idx="194">
                  <c:v>536</c:v>
                </c:pt>
                <c:pt idx="195">
                  <c:v>536</c:v>
                </c:pt>
                <c:pt idx="196">
                  <c:v>536</c:v>
                </c:pt>
                <c:pt idx="197">
                  <c:v>536</c:v>
                </c:pt>
                <c:pt idx="198">
                  <c:v>536</c:v>
                </c:pt>
                <c:pt idx="199">
                  <c:v>536</c:v>
                </c:pt>
                <c:pt idx="200">
                  <c:v>536</c:v>
                </c:pt>
                <c:pt idx="201">
                  <c:v>536</c:v>
                </c:pt>
                <c:pt idx="202">
                  <c:v>536</c:v>
                </c:pt>
                <c:pt idx="203">
                  <c:v>536</c:v>
                </c:pt>
                <c:pt idx="204">
                  <c:v>536</c:v>
                </c:pt>
                <c:pt idx="205">
                  <c:v>536</c:v>
                </c:pt>
                <c:pt idx="206">
                  <c:v>536</c:v>
                </c:pt>
                <c:pt idx="207">
                  <c:v>536</c:v>
                </c:pt>
                <c:pt idx="208">
                  <c:v>536</c:v>
                </c:pt>
                <c:pt idx="209">
                  <c:v>536</c:v>
                </c:pt>
                <c:pt idx="210">
                  <c:v>536</c:v>
                </c:pt>
                <c:pt idx="211">
                  <c:v>536</c:v>
                </c:pt>
                <c:pt idx="212">
                  <c:v>536</c:v>
                </c:pt>
                <c:pt idx="213">
                  <c:v>536</c:v>
                </c:pt>
                <c:pt idx="214">
                  <c:v>696</c:v>
                </c:pt>
                <c:pt idx="215">
                  <c:v>696</c:v>
                </c:pt>
                <c:pt idx="216">
                  <c:v>696</c:v>
                </c:pt>
                <c:pt idx="217">
                  <c:v>696</c:v>
                </c:pt>
                <c:pt idx="218">
                  <c:v>696</c:v>
                </c:pt>
                <c:pt idx="219">
                  <c:v>696</c:v>
                </c:pt>
                <c:pt idx="220">
                  <c:v>696</c:v>
                </c:pt>
                <c:pt idx="221">
                  <c:v>696</c:v>
                </c:pt>
                <c:pt idx="222">
                  <c:v>696</c:v>
                </c:pt>
                <c:pt idx="223">
                  <c:v>696</c:v>
                </c:pt>
                <c:pt idx="224">
                  <c:v>696</c:v>
                </c:pt>
                <c:pt idx="225">
                  <c:v>696</c:v>
                </c:pt>
                <c:pt idx="226">
                  <c:v>696</c:v>
                </c:pt>
                <c:pt idx="227">
                  <c:v>696</c:v>
                </c:pt>
                <c:pt idx="228">
                  <c:v>696</c:v>
                </c:pt>
                <c:pt idx="229">
                  <c:v>696</c:v>
                </c:pt>
                <c:pt idx="230">
                  <c:v>696</c:v>
                </c:pt>
                <c:pt idx="231">
                  <c:v>696</c:v>
                </c:pt>
                <c:pt idx="232">
                  <c:v>696</c:v>
                </c:pt>
                <c:pt idx="233">
                  <c:v>696</c:v>
                </c:pt>
                <c:pt idx="234">
                  <c:v>696</c:v>
                </c:pt>
                <c:pt idx="235">
                  <c:v>696</c:v>
                </c:pt>
                <c:pt idx="236">
                  <c:v>696</c:v>
                </c:pt>
                <c:pt idx="237">
                  <c:v>696</c:v>
                </c:pt>
                <c:pt idx="238">
                  <c:v>696</c:v>
                </c:pt>
                <c:pt idx="239">
                  <c:v>696</c:v>
                </c:pt>
                <c:pt idx="240">
                  <c:v>696</c:v>
                </c:pt>
                <c:pt idx="241">
                  <c:v>696</c:v>
                </c:pt>
                <c:pt idx="242">
                  <c:v>1544</c:v>
                </c:pt>
                <c:pt idx="243">
                  <c:v>1544</c:v>
                </c:pt>
                <c:pt idx="244">
                  <c:v>1544</c:v>
                </c:pt>
                <c:pt idx="245">
                  <c:v>1544</c:v>
                </c:pt>
                <c:pt idx="246">
                  <c:v>1544</c:v>
                </c:pt>
                <c:pt idx="247">
                  <c:v>1544</c:v>
                </c:pt>
                <c:pt idx="248">
                  <c:v>1544</c:v>
                </c:pt>
                <c:pt idx="249">
                  <c:v>1544</c:v>
                </c:pt>
                <c:pt idx="250">
                  <c:v>1544</c:v>
                </c:pt>
                <c:pt idx="251">
                  <c:v>1544</c:v>
                </c:pt>
                <c:pt idx="252">
                  <c:v>1544</c:v>
                </c:pt>
                <c:pt idx="253">
                  <c:v>1544</c:v>
                </c:pt>
                <c:pt idx="254">
                  <c:v>1544</c:v>
                </c:pt>
                <c:pt idx="255">
                  <c:v>1544</c:v>
                </c:pt>
                <c:pt idx="256">
                  <c:v>1544</c:v>
                </c:pt>
                <c:pt idx="257">
                  <c:v>1544</c:v>
                </c:pt>
                <c:pt idx="258">
                  <c:v>1544</c:v>
                </c:pt>
                <c:pt idx="259">
                  <c:v>1544</c:v>
                </c:pt>
                <c:pt idx="260">
                  <c:v>1544</c:v>
                </c:pt>
                <c:pt idx="261">
                  <c:v>1544</c:v>
                </c:pt>
                <c:pt idx="262">
                  <c:v>1544</c:v>
                </c:pt>
                <c:pt idx="263">
                  <c:v>1544</c:v>
                </c:pt>
                <c:pt idx="264">
                  <c:v>1544</c:v>
                </c:pt>
                <c:pt idx="265">
                  <c:v>1544</c:v>
                </c:pt>
                <c:pt idx="266">
                  <c:v>1544</c:v>
                </c:pt>
                <c:pt idx="267">
                  <c:v>1544</c:v>
                </c:pt>
                <c:pt idx="268">
                  <c:v>1544</c:v>
                </c:pt>
                <c:pt idx="269">
                  <c:v>1544</c:v>
                </c:pt>
                <c:pt idx="270">
                  <c:v>1544</c:v>
                </c:pt>
                <c:pt idx="271">
                  <c:v>1544</c:v>
                </c:pt>
                <c:pt idx="272">
                  <c:v>1544</c:v>
                </c:pt>
                <c:pt idx="273">
                  <c:v>1027</c:v>
                </c:pt>
                <c:pt idx="274">
                  <c:v>1027</c:v>
                </c:pt>
                <c:pt idx="275">
                  <c:v>1027</c:v>
                </c:pt>
                <c:pt idx="276">
                  <c:v>1027</c:v>
                </c:pt>
                <c:pt idx="277">
                  <c:v>1027</c:v>
                </c:pt>
                <c:pt idx="278">
                  <c:v>1027</c:v>
                </c:pt>
                <c:pt idx="279">
                  <c:v>1027</c:v>
                </c:pt>
                <c:pt idx="280">
                  <c:v>1027</c:v>
                </c:pt>
                <c:pt idx="281">
                  <c:v>1027</c:v>
                </c:pt>
                <c:pt idx="282">
                  <c:v>1027</c:v>
                </c:pt>
                <c:pt idx="283">
                  <c:v>1027</c:v>
                </c:pt>
                <c:pt idx="284">
                  <c:v>1027</c:v>
                </c:pt>
                <c:pt idx="285">
                  <c:v>1027</c:v>
                </c:pt>
                <c:pt idx="286">
                  <c:v>1027</c:v>
                </c:pt>
                <c:pt idx="287">
                  <c:v>1027</c:v>
                </c:pt>
                <c:pt idx="288">
                  <c:v>1027</c:v>
                </c:pt>
                <c:pt idx="289">
                  <c:v>1027</c:v>
                </c:pt>
                <c:pt idx="290">
                  <c:v>1027</c:v>
                </c:pt>
                <c:pt idx="291">
                  <c:v>1027</c:v>
                </c:pt>
                <c:pt idx="292">
                  <c:v>1027</c:v>
                </c:pt>
                <c:pt idx="293">
                  <c:v>1027</c:v>
                </c:pt>
                <c:pt idx="294">
                  <c:v>1027</c:v>
                </c:pt>
                <c:pt idx="295">
                  <c:v>1027</c:v>
                </c:pt>
                <c:pt idx="296">
                  <c:v>1027</c:v>
                </c:pt>
                <c:pt idx="297">
                  <c:v>1027</c:v>
                </c:pt>
                <c:pt idx="298">
                  <c:v>1027</c:v>
                </c:pt>
                <c:pt idx="299">
                  <c:v>1027</c:v>
                </c:pt>
                <c:pt idx="300">
                  <c:v>1027</c:v>
                </c:pt>
                <c:pt idx="301">
                  <c:v>1027</c:v>
                </c:pt>
                <c:pt idx="302">
                  <c:v>1027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BD-4A35-A534-2FD4641D1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8148495"/>
        <c:axId val="2128094735"/>
      </c:lineChart>
      <c:lineChart>
        <c:grouping val="standard"/>
        <c:varyColors val="0"/>
        <c:ser>
          <c:idx val="0"/>
          <c:order val="0"/>
          <c:tx>
            <c:strRef>
              <c:f>Overall!$H$1</c:f>
              <c:strCache>
                <c:ptCount val="1"/>
                <c:pt idx="0">
                  <c:v>dau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Overall!$E$2:$E$304</c:f>
              <c:numCache>
                <c:formatCode>m/d/yyyy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Overall!$H$2:$H$304</c:f>
              <c:numCache>
                <c:formatCode>General</c:formatCode>
                <c:ptCount val="303"/>
                <c:pt idx="0">
                  <c:v>3</c:v>
                </c:pt>
                <c:pt idx="1">
                  <c:v>6</c:v>
                </c:pt>
                <c:pt idx="2">
                  <c:v>5</c:v>
                </c:pt>
                <c:pt idx="3">
                  <c:v>10</c:v>
                </c:pt>
                <c:pt idx="4">
                  <c:v>5</c:v>
                </c:pt>
                <c:pt idx="5">
                  <c:v>13</c:v>
                </c:pt>
                <c:pt idx="6">
                  <c:v>22</c:v>
                </c:pt>
                <c:pt idx="7">
                  <c:v>22</c:v>
                </c:pt>
                <c:pt idx="8">
                  <c:v>26</c:v>
                </c:pt>
                <c:pt idx="9">
                  <c:v>23</c:v>
                </c:pt>
                <c:pt idx="10">
                  <c:v>24</c:v>
                </c:pt>
                <c:pt idx="11">
                  <c:v>30</c:v>
                </c:pt>
                <c:pt idx="12">
                  <c:v>32</c:v>
                </c:pt>
                <c:pt idx="13">
                  <c:v>25</c:v>
                </c:pt>
                <c:pt idx="14">
                  <c:v>34</c:v>
                </c:pt>
                <c:pt idx="15">
                  <c:v>39</c:v>
                </c:pt>
                <c:pt idx="16">
                  <c:v>22</c:v>
                </c:pt>
                <c:pt idx="17">
                  <c:v>38</c:v>
                </c:pt>
                <c:pt idx="18">
                  <c:v>34</c:v>
                </c:pt>
                <c:pt idx="19">
                  <c:v>50</c:v>
                </c:pt>
                <c:pt idx="20">
                  <c:v>43</c:v>
                </c:pt>
                <c:pt idx="21">
                  <c:v>43</c:v>
                </c:pt>
                <c:pt idx="22">
                  <c:v>53</c:v>
                </c:pt>
                <c:pt idx="23">
                  <c:v>63</c:v>
                </c:pt>
                <c:pt idx="24">
                  <c:v>48</c:v>
                </c:pt>
                <c:pt idx="25">
                  <c:v>59</c:v>
                </c:pt>
                <c:pt idx="26">
                  <c:v>59</c:v>
                </c:pt>
                <c:pt idx="27">
                  <c:v>61</c:v>
                </c:pt>
                <c:pt idx="28">
                  <c:v>64</c:v>
                </c:pt>
                <c:pt idx="29">
                  <c:v>64</c:v>
                </c:pt>
                <c:pt idx="30">
                  <c:v>52</c:v>
                </c:pt>
                <c:pt idx="31">
                  <c:v>62</c:v>
                </c:pt>
                <c:pt idx="32">
                  <c:v>55</c:v>
                </c:pt>
                <c:pt idx="33">
                  <c:v>60</c:v>
                </c:pt>
                <c:pt idx="34">
                  <c:v>52</c:v>
                </c:pt>
                <c:pt idx="35">
                  <c:v>62</c:v>
                </c:pt>
                <c:pt idx="36">
                  <c:v>59</c:v>
                </c:pt>
                <c:pt idx="37">
                  <c:v>58</c:v>
                </c:pt>
                <c:pt idx="38">
                  <c:v>53</c:v>
                </c:pt>
                <c:pt idx="39">
                  <c:v>55</c:v>
                </c:pt>
                <c:pt idx="40">
                  <c:v>65</c:v>
                </c:pt>
                <c:pt idx="41">
                  <c:v>54</c:v>
                </c:pt>
                <c:pt idx="42">
                  <c:v>74</c:v>
                </c:pt>
                <c:pt idx="43">
                  <c:v>59</c:v>
                </c:pt>
                <c:pt idx="44">
                  <c:v>54</c:v>
                </c:pt>
                <c:pt idx="45">
                  <c:v>68</c:v>
                </c:pt>
                <c:pt idx="46">
                  <c:v>59</c:v>
                </c:pt>
                <c:pt idx="47">
                  <c:v>61</c:v>
                </c:pt>
                <c:pt idx="48">
                  <c:v>58</c:v>
                </c:pt>
                <c:pt idx="49">
                  <c:v>67</c:v>
                </c:pt>
                <c:pt idx="50">
                  <c:v>62</c:v>
                </c:pt>
                <c:pt idx="51">
                  <c:v>53</c:v>
                </c:pt>
                <c:pt idx="52">
                  <c:v>60</c:v>
                </c:pt>
                <c:pt idx="53">
                  <c:v>67</c:v>
                </c:pt>
                <c:pt idx="54">
                  <c:v>67</c:v>
                </c:pt>
                <c:pt idx="55">
                  <c:v>61</c:v>
                </c:pt>
                <c:pt idx="56">
                  <c:v>63</c:v>
                </c:pt>
                <c:pt idx="57">
                  <c:v>61</c:v>
                </c:pt>
                <c:pt idx="58">
                  <c:v>54</c:v>
                </c:pt>
                <c:pt idx="59">
                  <c:v>72</c:v>
                </c:pt>
                <c:pt idx="60">
                  <c:v>54</c:v>
                </c:pt>
                <c:pt idx="61">
                  <c:v>66</c:v>
                </c:pt>
                <c:pt idx="62">
                  <c:v>61</c:v>
                </c:pt>
                <c:pt idx="63">
                  <c:v>58</c:v>
                </c:pt>
                <c:pt idx="64">
                  <c:v>64</c:v>
                </c:pt>
                <c:pt idx="65">
                  <c:v>62</c:v>
                </c:pt>
                <c:pt idx="66">
                  <c:v>46</c:v>
                </c:pt>
                <c:pt idx="67">
                  <c:v>49</c:v>
                </c:pt>
                <c:pt idx="68">
                  <c:v>59</c:v>
                </c:pt>
                <c:pt idx="69">
                  <c:v>60</c:v>
                </c:pt>
                <c:pt idx="70">
                  <c:v>53</c:v>
                </c:pt>
                <c:pt idx="71">
                  <c:v>61</c:v>
                </c:pt>
                <c:pt idx="72">
                  <c:v>58</c:v>
                </c:pt>
                <c:pt idx="73">
                  <c:v>64</c:v>
                </c:pt>
                <c:pt idx="74">
                  <c:v>65</c:v>
                </c:pt>
                <c:pt idx="75">
                  <c:v>74</c:v>
                </c:pt>
                <c:pt idx="76">
                  <c:v>58</c:v>
                </c:pt>
                <c:pt idx="77">
                  <c:v>62</c:v>
                </c:pt>
                <c:pt idx="78">
                  <c:v>69</c:v>
                </c:pt>
                <c:pt idx="79">
                  <c:v>66</c:v>
                </c:pt>
                <c:pt idx="80">
                  <c:v>67</c:v>
                </c:pt>
                <c:pt idx="81">
                  <c:v>71</c:v>
                </c:pt>
                <c:pt idx="82">
                  <c:v>67</c:v>
                </c:pt>
                <c:pt idx="83">
                  <c:v>55</c:v>
                </c:pt>
                <c:pt idx="84">
                  <c:v>58</c:v>
                </c:pt>
                <c:pt idx="85">
                  <c:v>73</c:v>
                </c:pt>
                <c:pt idx="86">
                  <c:v>58</c:v>
                </c:pt>
                <c:pt idx="87">
                  <c:v>76</c:v>
                </c:pt>
                <c:pt idx="88">
                  <c:v>62</c:v>
                </c:pt>
                <c:pt idx="89">
                  <c:v>66</c:v>
                </c:pt>
                <c:pt idx="90">
                  <c:v>59</c:v>
                </c:pt>
                <c:pt idx="91">
                  <c:v>61</c:v>
                </c:pt>
                <c:pt idx="92">
                  <c:v>52</c:v>
                </c:pt>
                <c:pt idx="93">
                  <c:v>69</c:v>
                </c:pt>
                <c:pt idx="94">
                  <c:v>70</c:v>
                </c:pt>
                <c:pt idx="95">
                  <c:v>45</c:v>
                </c:pt>
                <c:pt idx="96">
                  <c:v>77</c:v>
                </c:pt>
                <c:pt idx="97">
                  <c:v>61</c:v>
                </c:pt>
                <c:pt idx="98">
                  <c:v>56</c:v>
                </c:pt>
                <c:pt idx="99">
                  <c:v>66</c:v>
                </c:pt>
                <c:pt idx="100">
                  <c:v>51</c:v>
                </c:pt>
                <c:pt idx="101">
                  <c:v>59</c:v>
                </c:pt>
                <c:pt idx="102">
                  <c:v>65</c:v>
                </c:pt>
                <c:pt idx="103">
                  <c:v>53</c:v>
                </c:pt>
                <c:pt idx="104">
                  <c:v>72</c:v>
                </c:pt>
                <c:pt idx="105">
                  <c:v>62</c:v>
                </c:pt>
                <c:pt idx="106">
                  <c:v>62</c:v>
                </c:pt>
                <c:pt idx="107">
                  <c:v>70</c:v>
                </c:pt>
                <c:pt idx="108">
                  <c:v>62</c:v>
                </c:pt>
                <c:pt idx="109">
                  <c:v>82</c:v>
                </c:pt>
                <c:pt idx="110">
                  <c:v>52</c:v>
                </c:pt>
                <c:pt idx="111">
                  <c:v>65</c:v>
                </c:pt>
                <c:pt idx="112">
                  <c:v>64</c:v>
                </c:pt>
                <c:pt idx="113">
                  <c:v>57</c:v>
                </c:pt>
                <c:pt idx="114">
                  <c:v>58</c:v>
                </c:pt>
                <c:pt idx="115">
                  <c:v>66</c:v>
                </c:pt>
                <c:pt idx="116">
                  <c:v>60</c:v>
                </c:pt>
                <c:pt idx="117">
                  <c:v>55</c:v>
                </c:pt>
                <c:pt idx="118">
                  <c:v>65</c:v>
                </c:pt>
                <c:pt idx="119">
                  <c:v>54</c:v>
                </c:pt>
                <c:pt idx="120">
                  <c:v>66</c:v>
                </c:pt>
                <c:pt idx="121">
                  <c:v>72</c:v>
                </c:pt>
                <c:pt idx="122">
                  <c:v>58</c:v>
                </c:pt>
                <c:pt idx="123">
                  <c:v>55</c:v>
                </c:pt>
                <c:pt idx="124">
                  <c:v>56</c:v>
                </c:pt>
                <c:pt idx="125">
                  <c:v>63</c:v>
                </c:pt>
                <c:pt idx="126">
                  <c:v>69</c:v>
                </c:pt>
                <c:pt idx="127">
                  <c:v>62</c:v>
                </c:pt>
                <c:pt idx="128">
                  <c:v>60</c:v>
                </c:pt>
                <c:pt idx="129">
                  <c:v>60</c:v>
                </c:pt>
                <c:pt idx="130">
                  <c:v>60</c:v>
                </c:pt>
                <c:pt idx="131">
                  <c:v>55</c:v>
                </c:pt>
                <c:pt idx="132">
                  <c:v>62</c:v>
                </c:pt>
                <c:pt idx="133">
                  <c:v>53</c:v>
                </c:pt>
                <c:pt idx="134">
                  <c:v>54</c:v>
                </c:pt>
                <c:pt idx="135">
                  <c:v>46</c:v>
                </c:pt>
                <c:pt idx="136">
                  <c:v>55</c:v>
                </c:pt>
                <c:pt idx="137">
                  <c:v>51</c:v>
                </c:pt>
                <c:pt idx="138">
                  <c:v>58</c:v>
                </c:pt>
                <c:pt idx="139">
                  <c:v>51</c:v>
                </c:pt>
                <c:pt idx="140">
                  <c:v>40</c:v>
                </c:pt>
                <c:pt idx="141">
                  <c:v>50</c:v>
                </c:pt>
                <c:pt idx="142">
                  <c:v>34</c:v>
                </c:pt>
                <c:pt idx="143">
                  <c:v>41</c:v>
                </c:pt>
                <c:pt idx="144">
                  <c:v>39</c:v>
                </c:pt>
                <c:pt idx="145">
                  <c:v>32</c:v>
                </c:pt>
                <c:pt idx="146">
                  <c:v>32</c:v>
                </c:pt>
                <c:pt idx="147">
                  <c:v>31</c:v>
                </c:pt>
                <c:pt idx="148">
                  <c:v>35</c:v>
                </c:pt>
                <c:pt idx="149">
                  <c:v>32</c:v>
                </c:pt>
                <c:pt idx="150">
                  <c:v>23</c:v>
                </c:pt>
                <c:pt idx="151">
                  <c:v>35</c:v>
                </c:pt>
                <c:pt idx="152">
                  <c:v>32</c:v>
                </c:pt>
                <c:pt idx="153">
                  <c:v>25</c:v>
                </c:pt>
                <c:pt idx="154">
                  <c:v>19</c:v>
                </c:pt>
                <c:pt idx="155">
                  <c:v>30</c:v>
                </c:pt>
                <c:pt idx="156">
                  <c:v>23</c:v>
                </c:pt>
                <c:pt idx="157">
                  <c:v>32</c:v>
                </c:pt>
                <c:pt idx="158">
                  <c:v>35</c:v>
                </c:pt>
                <c:pt idx="159">
                  <c:v>29</c:v>
                </c:pt>
                <c:pt idx="160">
                  <c:v>36</c:v>
                </c:pt>
                <c:pt idx="161">
                  <c:v>30</c:v>
                </c:pt>
                <c:pt idx="162">
                  <c:v>25</c:v>
                </c:pt>
                <c:pt idx="163">
                  <c:v>31</c:v>
                </c:pt>
                <c:pt idx="164">
                  <c:v>34</c:v>
                </c:pt>
                <c:pt idx="165">
                  <c:v>22</c:v>
                </c:pt>
                <c:pt idx="166">
                  <c:v>26</c:v>
                </c:pt>
                <c:pt idx="167">
                  <c:v>27</c:v>
                </c:pt>
                <c:pt idx="168">
                  <c:v>28</c:v>
                </c:pt>
                <c:pt idx="169">
                  <c:v>20</c:v>
                </c:pt>
                <c:pt idx="170">
                  <c:v>32</c:v>
                </c:pt>
                <c:pt idx="171">
                  <c:v>28</c:v>
                </c:pt>
                <c:pt idx="172">
                  <c:v>28</c:v>
                </c:pt>
                <c:pt idx="173">
                  <c:v>29</c:v>
                </c:pt>
                <c:pt idx="174">
                  <c:v>36</c:v>
                </c:pt>
                <c:pt idx="175">
                  <c:v>24</c:v>
                </c:pt>
                <c:pt idx="176">
                  <c:v>33</c:v>
                </c:pt>
                <c:pt idx="177">
                  <c:v>26</c:v>
                </c:pt>
                <c:pt idx="178">
                  <c:v>24</c:v>
                </c:pt>
                <c:pt idx="179">
                  <c:v>32</c:v>
                </c:pt>
                <c:pt idx="180">
                  <c:v>29</c:v>
                </c:pt>
                <c:pt idx="181">
                  <c:v>22</c:v>
                </c:pt>
                <c:pt idx="182">
                  <c:v>37</c:v>
                </c:pt>
                <c:pt idx="183">
                  <c:v>24</c:v>
                </c:pt>
                <c:pt idx="184">
                  <c:v>35</c:v>
                </c:pt>
                <c:pt idx="185">
                  <c:v>40</c:v>
                </c:pt>
                <c:pt idx="186">
                  <c:v>46</c:v>
                </c:pt>
                <c:pt idx="187">
                  <c:v>36</c:v>
                </c:pt>
                <c:pt idx="188">
                  <c:v>46</c:v>
                </c:pt>
                <c:pt idx="189">
                  <c:v>35</c:v>
                </c:pt>
                <c:pt idx="190">
                  <c:v>53</c:v>
                </c:pt>
                <c:pt idx="191">
                  <c:v>53</c:v>
                </c:pt>
                <c:pt idx="192">
                  <c:v>52</c:v>
                </c:pt>
                <c:pt idx="193">
                  <c:v>65</c:v>
                </c:pt>
                <c:pt idx="194">
                  <c:v>52</c:v>
                </c:pt>
                <c:pt idx="195">
                  <c:v>62</c:v>
                </c:pt>
                <c:pt idx="196">
                  <c:v>77</c:v>
                </c:pt>
                <c:pt idx="197">
                  <c:v>61</c:v>
                </c:pt>
                <c:pt idx="198">
                  <c:v>70</c:v>
                </c:pt>
                <c:pt idx="199">
                  <c:v>66</c:v>
                </c:pt>
                <c:pt idx="200">
                  <c:v>73</c:v>
                </c:pt>
                <c:pt idx="201">
                  <c:v>73</c:v>
                </c:pt>
                <c:pt idx="202">
                  <c:v>80</c:v>
                </c:pt>
                <c:pt idx="203">
                  <c:v>75</c:v>
                </c:pt>
                <c:pt idx="204">
                  <c:v>90</c:v>
                </c:pt>
                <c:pt idx="205">
                  <c:v>78</c:v>
                </c:pt>
                <c:pt idx="206">
                  <c:v>90</c:v>
                </c:pt>
                <c:pt idx="207">
                  <c:v>88</c:v>
                </c:pt>
                <c:pt idx="208">
                  <c:v>83</c:v>
                </c:pt>
                <c:pt idx="209">
                  <c:v>92</c:v>
                </c:pt>
                <c:pt idx="210">
                  <c:v>99</c:v>
                </c:pt>
                <c:pt idx="211">
                  <c:v>93</c:v>
                </c:pt>
                <c:pt idx="212">
                  <c:v>115</c:v>
                </c:pt>
                <c:pt idx="213">
                  <c:v>108</c:v>
                </c:pt>
                <c:pt idx="214">
                  <c:v>112</c:v>
                </c:pt>
                <c:pt idx="215">
                  <c:v>86</c:v>
                </c:pt>
                <c:pt idx="216">
                  <c:v>98</c:v>
                </c:pt>
                <c:pt idx="217">
                  <c:v>100</c:v>
                </c:pt>
                <c:pt idx="218">
                  <c:v>95</c:v>
                </c:pt>
                <c:pt idx="219">
                  <c:v>98</c:v>
                </c:pt>
                <c:pt idx="220">
                  <c:v>90</c:v>
                </c:pt>
                <c:pt idx="221">
                  <c:v>107</c:v>
                </c:pt>
                <c:pt idx="222">
                  <c:v>101</c:v>
                </c:pt>
                <c:pt idx="223">
                  <c:v>104</c:v>
                </c:pt>
                <c:pt idx="224">
                  <c:v>98</c:v>
                </c:pt>
                <c:pt idx="225">
                  <c:v>101</c:v>
                </c:pt>
                <c:pt idx="226">
                  <c:v>94</c:v>
                </c:pt>
                <c:pt idx="227">
                  <c:v>108</c:v>
                </c:pt>
                <c:pt idx="228">
                  <c:v>103</c:v>
                </c:pt>
                <c:pt idx="229">
                  <c:v>95</c:v>
                </c:pt>
                <c:pt idx="230">
                  <c:v>107</c:v>
                </c:pt>
                <c:pt idx="231">
                  <c:v>116</c:v>
                </c:pt>
                <c:pt idx="232">
                  <c:v>109</c:v>
                </c:pt>
                <c:pt idx="233">
                  <c:v>84</c:v>
                </c:pt>
                <c:pt idx="234">
                  <c:v>98</c:v>
                </c:pt>
                <c:pt idx="235">
                  <c:v>115</c:v>
                </c:pt>
                <c:pt idx="236">
                  <c:v>95</c:v>
                </c:pt>
                <c:pt idx="237">
                  <c:v>106</c:v>
                </c:pt>
                <c:pt idx="238">
                  <c:v>118</c:v>
                </c:pt>
                <c:pt idx="239">
                  <c:v>127</c:v>
                </c:pt>
                <c:pt idx="240">
                  <c:v>104</c:v>
                </c:pt>
                <c:pt idx="241">
                  <c:v>131</c:v>
                </c:pt>
                <c:pt idx="242">
                  <c:v>130</c:v>
                </c:pt>
                <c:pt idx="243">
                  <c:v>138</c:v>
                </c:pt>
                <c:pt idx="244">
                  <c:v>167</c:v>
                </c:pt>
                <c:pt idx="245">
                  <c:v>170</c:v>
                </c:pt>
                <c:pt idx="246">
                  <c:v>165</c:v>
                </c:pt>
                <c:pt idx="247">
                  <c:v>149</c:v>
                </c:pt>
                <c:pt idx="248">
                  <c:v>151</c:v>
                </c:pt>
                <c:pt idx="249">
                  <c:v>173</c:v>
                </c:pt>
                <c:pt idx="250">
                  <c:v>150</c:v>
                </c:pt>
                <c:pt idx="251">
                  <c:v>162</c:v>
                </c:pt>
                <c:pt idx="252">
                  <c:v>175</c:v>
                </c:pt>
                <c:pt idx="253">
                  <c:v>176</c:v>
                </c:pt>
                <c:pt idx="254">
                  <c:v>180</c:v>
                </c:pt>
                <c:pt idx="255">
                  <c:v>168</c:v>
                </c:pt>
                <c:pt idx="256">
                  <c:v>185</c:v>
                </c:pt>
                <c:pt idx="257">
                  <c:v>181</c:v>
                </c:pt>
                <c:pt idx="258">
                  <c:v>172</c:v>
                </c:pt>
                <c:pt idx="259">
                  <c:v>187</c:v>
                </c:pt>
                <c:pt idx="260">
                  <c:v>218</c:v>
                </c:pt>
                <c:pt idx="261">
                  <c:v>184</c:v>
                </c:pt>
                <c:pt idx="262">
                  <c:v>194</c:v>
                </c:pt>
                <c:pt idx="263">
                  <c:v>131</c:v>
                </c:pt>
                <c:pt idx="264">
                  <c:v>176</c:v>
                </c:pt>
                <c:pt idx="265">
                  <c:v>136</c:v>
                </c:pt>
                <c:pt idx="266">
                  <c:v>153</c:v>
                </c:pt>
                <c:pt idx="267">
                  <c:v>159</c:v>
                </c:pt>
                <c:pt idx="268">
                  <c:v>143</c:v>
                </c:pt>
                <c:pt idx="269">
                  <c:v>156</c:v>
                </c:pt>
                <c:pt idx="270">
                  <c:v>151</c:v>
                </c:pt>
                <c:pt idx="271">
                  <c:v>148</c:v>
                </c:pt>
                <c:pt idx="272">
                  <c:v>184</c:v>
                </c:pt>
                <c:pt idx="273">
                  <c:v>204</c:v>
                </c:pt>
                <c:pt idx="274">
                  <c:v>215</c:v>
                </c:pt>
                <c:pt idx="275">
                  <c:v>198</c:v>
                </c:pt>
                <c:pt idx="276">
                  <c:v>199</c:v>
                </c:pt>
                <c:pt idx="277">
                  <c:v>188</c:v>
                </c:pt>
                <c:pt idx="278">
                  <c:v>197</c:v>
                </c:pt>
                <c:pt idx="279">
                  <c:v>192</c:v>
                </c:pt>
                <c:pt idx="280">
                  <c:v>200</c:v>
                </c:pt>
                <c:pt idx="281">
                  <c:v>192</c:v>
                </c:pt>
                <c:pt idx="282">
                  <c:v>172</c:v>
                </c:pt>
                <c:pt idx="283">
                  <c:v>160</c:v>
                </c:pt>
                <c:pt idx="284">
                  <c:v>168</c:v>
                </c:pt>
                <c:pt idx="285">
                  <c:v>171</c:v>
                </c:pt>
                <c:pt idx="286">
                  <c:v>154</c:v>
                </c:pt>
                <c:pt idx="287">
                  <c:v>146</c:v>
                </c:pt>
                <c:pt idx="288">
                  <c:v>166</c:v>
                </c:pt>
                <c:pt idx="289">
                  <c:v>134</c:v>
                </c:pt>
                <c:pt idx="290">
                  <c:v>149</c:v>
                </c:pt>
                <c:pt idx="291">
                  <c:v>132</c:v>
                </c:pt>
                <c:pt idx="292">
                  <c:v>131</c:v>
                </c:pt>
                <c:pt idx="293">
                  <c:v>104</c:v>
                </c:pt>
                <c:pt idx="294">
                  <c:v>105</c:v>
                </c:pt>
                <c:pt idx="295">
                  <c:v>105</c:v>
                </c:pt>
                <c:pt idx="296">
                  <c:v>90</c:v>
                </c:pt>
                <c:pt idx="297">
                  <c:v>101</c:v>
                </c:pt>
                <c:pt idx="298">
                  <c:v>92</c:v>
                </c:pt>
                <c:pt idx="299">
                  <c:v>68</c:v>
                </c:pt>
                <c:pt idx="300">
                  <c:v>75</c:v>
                </c:pt>
                <c:pt idx="301">
                  <c:v>73</c:v>
                </c:pt>
                <c:pt idx="302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BD-4A35-A534-2FD4641D1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8144175"/>
        <c:axId val="2128140815"/>
      </c:lineChart>
      <c:dateAx>
        <c:axId val="2128148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Дата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8094735"/>
        <c:crosses val="autoZero"/>
        <c:auto val="1"/>
        <c:lblOffset val="100"/>
        <c:baseTimeUnit val="days"/>
      </c:dateAx>
      <c:valAx>
        <c:axId val="212809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Количество уникальных пользователей в неделю и месяц</a:t>
                </a:r>
              </a:p>
            </c:rich>
          </c:tx>
          <c:layout>
            <c:manualLayout>
              <c:xMode val="edge"/>
              <c:yMode val="edge"/>
              <c:x val="1.3316687473990845E-2"/>
              <c:y val="0.187817564471107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8148495"/>
        <c:crosses val="autoZero"/>
        <c:crossBetween val="between"/>
      </c:valAx>
      <c:valAx>
        <c:axId val="212814081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уникальных пользователей в день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8144175"/>
        <c:crosses val="max"/>
        <c:crossBetween val="between"/>
      </c:valAx>
      <c:dateAx>
        <c:axId val="2128144175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128140815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Динамика </a:t>
            </a:r>
            <a:r>
              <a:rPr 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Sticky Factor Weekly</a:t>
            </a:r>
            <a:r>
              <a:rPr lang="ru-RU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 и</a:t>
            </a:r>
            <a:r>
              <a:rPr 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 Sticky Factor Monthly</a:t>
            </a:r>
            <a:r>
              <a:rPr lang="ru-RU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 </a:t>
            </a:r>
          </a:p>
          <a:p>
            <a:pPr>
              <a:defRPr/>
            </a:pPr>
            <a:r>
              <a:rPr lang="ru-RU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в июле 2022 - апреле 2023 г.</a:t>
            </a:r>
            <a:endParaRPr lang="en-US"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Overall!$K$1</c:f>
              <c:strCache>
                <c:ptCount val="1"/>
                <c:pt idx="0">
                  <c:v>SFW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Overall!$E$2:$E$304</c:f>
              <c:numCache>
                <c:formatCode>m/d/yyyy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Overall!$K$2:$K$304</c:f>
              <c:numCache>
                <c:formatCode>0.00%</c:formatCode>
                <c:ptCount val="303"/>
                <c:pt idx="0">
                  <c:v>0.5</c:v>
                </c:pt>
                <c:pt idx="1">
                  <c:v>1</c:v>
                </c:pt>
                <c:pt idx="2">
                  <c:v>8.4745762711864403E-2</c:v>
                </c:pt>
                <c:pt idx="3">
                  <c:v>0.16949152542372881</c:v>
                </c:pt>
                <c:pt idx="4">
                  <c:v>8.4745762711864403E-2</c:v>
                </c:pt>
                <c:pt idx="5">
                  <c:v>0.22033898305084745</c:v>
                </c:pt>
                <c:pt idx="6">
                  <c:v>0.3728813559322034</c:v>
                </c:pt>
                <c:pt idx="7">
                  <c:v>0.3728813559322034</c:v>
                </c:pt>
                <c:pt idx="8">
                  <c:v>0.44067796610169491</c:v>
                </c:pt>
                <c:pt idx="9">
                  <c:v>0.25</c:v>
                </c:pt>
                <c:pt idx="10">
                  <c:v>0.2608695652173913</c:v>
                </c:pt>
                <c:pt idx="11">
                  <c:v>0.32608695652173914</c:v>
                </c:pt>
                <c:pt idx="12">
                  <c:v>0.34782608695652173</c:v>
                </c:pt>
                <c:pt idx="13">
                  <c:v>0.27173913043478259</c:v>
                </c:pt>
                <c:pt idx="14">
                  <c:v>0.36956521739130432</c:v>
                </c:pt>
                <c:pt idx="15">
                  <c:v>0.42391304347826086</c:v>
                </c:pt>
                <c:pt idx="16">
                  <c:v>0.16541353383458646</c:v>
                </c:pt>
                <c:pt idx="17">
                  <c:v>0.2857142857142857</c:v>
                </c:pt>
                <c:pt idx="18">
                  <c:v>0.25563909774436089</c:v>
                </c:pt>
                <c:pt idx="19">
                  <c:v>0.37593984962406013</c:v>
                </c:pt>
                <c:pt idx="20">
                  <c:v>0.32330827067669171</c:v>
                </c:pt>
                <c:pt idx="21">
                  <c:v>0.32330827067669171</c:v>
                </c:pt>
                <c:pt idx="22">
                  <c:v>0.39849624060150374</c:v>
                </c:pt>
                <c:pt idx="23">
                  <c:v>0.34426229508196721</c:v>
                </c:pt>
                <c:pt idx="24">
                  <c:v>0.26229508196721313</c:v>
                </c:pt>
                <c:pt idx="25">
                  <c:v>0.32240437158469948</c:v>
                </c:pt>
                <c:pt idx="26">
                  <c:v>0.32240437158469948</c:v>
                </c:pt>
                <c:pt idx="27">
                  <c:v>0.33333333333333331</c:v>
                </c:pt>
                <c:pt idx="28">
                  <c:v>0.34972677595628415</c:v>
                </c:pt>
                <c:pt idx="29">
                  <c:v>0.34972677595628415</c:v>
                </c:pt>
                <c:pt idx="30">
                  <c:v>0.25742574257425743</c:v>
                </c:pt>
                <c:pt idx="31">
                  <c:v>0.30693069306930693</c:v>
                </c:pt>
                <c:pt idx="32">
                  <c:v>0.2722772277227723</c:v>
                </c:pt>
                <c:pt idx="33">
                  <c:v>0.29702970297029702</c:v>
                </c:pt>
                <c:pt idx="34">
                  <c:v>0.25742574257425743</c:v>
                </c:pt>
                <c:pt idx="35">
                  <c:v>0.30693069306930693</c:v>
                </c:pt>
                <c:pt idx="36">
                  <c:v>0.29207920792079206</c:v>
                </c:pt>
                <c:pt idx="37">
                  <c:v>0.30051813471502592</c:v>
                </c:pt>
                <c:pt idx="38">
                  <c:v>0.27461139896373055</c:v>
                </c:pt>
                <c:pt idx="39">
                  <c:v>0.28497409326424872</c:v>
                </c:pt>
                <c:pt idx="40">
                  <c:v>0.33678756476683935</c:v>
                </c:pt>
                <c:pt idx="41">
                  <c:v>0.27979274611398963</c:v>
                </c:pt>
                <c:pt idx="42">
                  <c:v>0.38341968911917096</c:v>
                </c:pt>
                <c:pt idx="43">
                  <c:v>0.30569948186528495</c:v>
                </c:pt>
                <c:pt idx="44">
                  <c:v>0.26865671641791045</c:v>
                </c:pt>
                <c:pt idx="45">
                  <c:v>0.3383084577114428</c:v>
                </c:pt>
                <c:pt idx="46">
                  <c:v>0.29353233830845771</c:v>
                </c:pt>
                <c:pt idx="47">
                  <c:v>0.30348258706467662</c:v>
                </c:pt>
                <c:pt idx="48">
                  <c:v>0.28855721393034828</c:v>
                </c:pt>
                <c:pt idx="49">
                  <c:v>0.33333333333333331</c:v>
                </c:pt>
                <c:pt idx="50">
                  <c:v>0.30845771144278605</c:v>
                </c:pt>
                <c:pt idx="51">
                  <c:v>0.25728155339805825</c:v>
                </c:pt>
                <c:pt idx="52">
                  <c:v>0.29126213592233008</c:v>
                </c:pt>
                <c:pt idx="53">
                  <c:v>0.32524271844660196</c:v>
                </c:pt>
                <c:pt idx="54">
                  <c:v>0.32524271844660196</c:v>
                </c:pt>
                <c:pt idx="55">
                  <c:v>0.29611650485436891</c:v>
                </c:pt>
                <c:pt idx="56">
                  <c:v>0.30582524271844658</c:v>
                </c:pt>
                <c:pt idx="57">
                  <c:v>0.29611650485436891</c:v>
                </c:pt>
                <c:pt idx="58">
                  <c:v>0.28125</c:v>
                </c:pt>
                <c:pt idx="59">
                  <c:v>0.375</c:v>
                </c:pt>
                <c:pt idx="60">
                  <c:v>0.28125</c:v>
                </c:pt>
                <c:pt idx="61">
                  <c:v>0.34375</c:v>
                </c:pt>
                <c:pt idx="62">
                  <c:v>0.31770833333333331</c:v>
                </c:pt>
                <c:pt idx="63">
                  <c:v>0.30208333333333331</c:v>
                </c:pt>
                <c:pt idx="64">
                  <c:v>0.33333333333333331</c:v>
                </c:pt>
                <c:pt idx="65">
                  <c:v>0.31632653061224492</c:v>
                </c:pt>
                <c:pt idx="66">
                  <c:v>0.23469387755102042</c:v>
                </c:pt>
                <c:pt idx="67">
                  <c:v>0.25</c:v>
                </c:pt>
                <c:pt idx="68">
                  <c:v>0.30102040816326531</c:v>
                </c:pt>
                <c:pt idx="69">
                  <c:v>0.30612244897959184</c:v>
                </c:pt>
                <c:pt idx="70">
                  <c:v>0.27040816326530615</c:v>
                </c:pt>
                <c:pt idx="71">
                  <c:v>0.31122448979591838</c:v>
                </c:pt>
                <c:pt idx="72">
                  <c:v>0.28292682926829266</c:v>
                </c:pt>
                <c:pt idx="73">
                  <c:v>0.31219512195121951</c:v>
                </c:pt>
                <c:pt idx="74">
                  <c:v>0.31707317073170732</c:v>
                </c:pt>
                <c:pt idx="75">
                  <c:v>0.36097560975609755</c:v>
                </c:pt>
                <c:pt idx="76">
                  <c:v>0.28292682926829266</c:v>
                </c:pt>
                <c:pt idx="77">
                  <c:v>0.30243902439024389</c:v>
                </c:pt>
                <c:pt idx="78">
                  <c:v>0.33658536585365856</c:v>
                </c:pt>
                <c:pt idx="79">
                  <c:v>0.30985915492957744</c:v>
                </c:pt>
                <c:pt idx="80">
                  <c:v>0.31455399061032863</c:v>
                </c:pt>
                <c:pt idx="81">
                  <c:v>0.33333333333333331</c:v>
                </c:pt>
                <c:pt idx="82">
                  <c:v>0.31455399061032863</c:v>
                </c:pt>
                <c:pt idx="83">
                  <c:v>0.25821596244131456</c:v>
                </c:pt>
                <c:pt idx="84">
                  <c:v>0.27230046948356806</c:v>
                </c:pt>
                <c:pt idx="85">
                  <c:v>0.34272300469483569</c:v>
                </c:pt>
                <c:pt idx="86">
                  <c:v>0.27884615384615385</c:v>
                </c:pt>
                <c:pt idx="87">
                  <c:v>0.36538461538461536</c:v>
                </c:pt>
                <c:pt idx="88">
                  <c:v>0.29807692307692307</c:v>
                </c:pt>
                <c:pt idx="89">
                  <c:v>0.31730769230769229</c:v>
                </c:pt>
                <c:pt idx="90">
                  <c:v>0.28365384615384615</c:v>
                </c:pt>
                <c:pt idx="91">
                  <c:v>0.29326923076923078</c:v>
                </c:pt>
                <c:pt idx="92">
                  <c:v>0.25</c:v>
                </c:pt>
                <c:pt idx="93">
                  <c:v>0.33333333333333331</c:v>
                </c:pt>
                <c:pt idx="94">
                  <c:v>0.33816425120772947</c:v>
                </c:pt>
                <c:pt idx="95">
                  <c:v>0.21739130434782608</c:v>
                </c:pt>
                <c:pt idx="96">
                  <c:v>0.3719806763285024</c:v>
                </c:pt>
                <c:pt idx="97">
                  <c:v>0.29468599033816423</c:v>
                </c:pt>
                <c:pt idx="98">
                  <c:v>0.27053140096618356</c:v>
                </c:pt>
                <c:pt idx="99">
                  <c:v>0.3188405797101449</c:v>
                </c:pt>
                <c:pt idx="100">
                  <c:v>0.25</c:v>
                </c:pt>
                <c:pt idx="101">
                  <c:v>0.28921568627450983</c:v>
                </c:pt>
                <c:pt idx="102">
                  <c:v>0.31862745098039214</c:v>
                </c:pt>
                <c:pt idx="103">
                  <c:v>0.25980392156862747</c:v>
                </c:pt>
                <c:pt idx="104">
                  <c:v>0.35294117647058826</c:v>
                </c:pt>
                <c:pt idx="105">
                  <c:v>0.30392156862745096</c:v>
                </c:pt>
                <c:pt idx="106">
                  <c:v>0.30392156862745096</c:v>
                </c:pt>
                <c:pt idx="107">
                  <c:v>0.34825870646766172</c:v>
                </c:pt>
                <c:pt idx="108">
                  <c:v>0.30845771144278605</c:v>
                </c:pt>
                <c:pt idx="109">
                  <c:v>0.4079601990049751</c:v>
                </c:pt>
                <c:pt idx="110">
                  <c:v>0.25870646766169153</c:v>
                </c:pt>
                <c:pt idx="111">
                  <c:v>0.32338308457711445</c:v>
                </c:pt>
                <c:pt idx="112">
                  <c:v>0.31840796019900497</c:v>
                </c:pt>
                <c:pt idx="113">
                  <c:v>0.28358208955223879</c:v>
                </c:pt>
                <c:pt idx="114">
                  <c:v>0.27230046948356806</c:v>
                </c:pt>
                <c:pt idx="115">
                  <c:v>0.30985915492957744</c:v>
                </c:pt>
                <c:pt idx="116">
                  <c:v>0.28169014084507044</c:v>
                </c:pt>
                <c:pt idx="117">
                  <c:v>0.25821596244131456</c:v>
                </c:pt>
                <c:pt idx="118">
                  <c:v>0.30516431924882631</c:v>
                </c:pt>
                <c:pt idx="119">
                  <c:v>0.25352112676056338</c:v>
                </c:pt>
                <c:pt idx="120">
                  <c:v>0.30985915492957744</c:v>
                </c:pt>
                <c:pt idx="121">
                  <c:v>0.3364485981308411</c:v>
                </c:pt>
                <c:pt idx="122">
                  <c:v>0.27102803738317754</c:v>
                </c:pt>
                <c:pt idx="123">
                  <c:v>0.2570093457943925</c:v>
                </c:pt>
                <c:pt idx="124">
                  <c:v>0.26168224299065418</c:v>
                </c:pt>
                <c:pt idx="125">
                  <c:v>0.29439252336448596</c:v>
                </c:pt>
                <c:pt idx="126">
                  <c:v>0.32242990654205606</c:v>
                </c:pt>
                <c:pt idx="127">
                  <c:v>0.28971962616822428</c:v>
                </c:pt>
                <c:pt idx="128">
                  <c:v>0.29556650246305421</c:v>
                </c:pt>
                <c:pt idx="129">
                  <c:v>0.29556650246305421</c:v>
                </c:pt>
                <c:pt idx="130">
                  <c:v>0.29556650246305421</c:v>
                </c:pt>
                <c:pt idx="131">
                  <c:v>0.27093596059113301</c:v>
                </c:pt>
                <c:pt idx="132">
                  <c:v>0.30541871921182268</c:v>
                </c:pt>
                <c:pt idx="133">
                  <c:v>0.26108374384236455</c:v>
                </c:pt>
                <c:pt idx="134">
                  <c:v>0.26600985221674878</c:v>
                </c:pt>
                <c:pt idx="135">
                  <c:v>0.22772277227722773</c:v>
                </c:pt>
                <c:pt idx="136">
                  <c:v>0.2722772277227723</c:v>
                </c:pt>
                <c:pt idx="137">
                  <c:v>0.25247524752475248</c:v>
                </c:pt>
                <c:pt idx="138">
                  <c:v>0.28712871287128711</c:v>
                </c:pt>
                <c:pt idx="139">
                  <c:v>0.25247524752475248</c:v>
                </c:pt>
                <c:pt idx="140">
                  <c:v>0.19801980198019803</c:v>
                </c:pt>
                <c:pt idx="141">
                  <c:v>0.24752475247524752</c:v>
                </c:pt>
                <c:pt idx="142">
                  <c:v>0.20359281437125748</c:v>
                </c:pt>
                <c:pt idx="143">
                  <c:v>0.24550898203592814</c:v>
                </c:pt>
                <c:pt idx="144">
                  <c:v>0.23353293413173654</c:v>
                </c:pt>
                <c:pt idx="145">
                  <c:v>0.19161676646706588</c:v>
                </c:pt>
                <c:pt idx="146">
                  <c:v>0.19161676646706588</c:v>
                </c:pt>
                <c:pt idx="147">
                  <c:v>0.18562874251497005</c:v>
                </c:pt>
                <c:pt idx="148">
                  <c:v>0.20958083832335328</c:v>
                </c:pt>
                <c:pt idx="149">
                  <c:v>0.20382165605095542</c:v>
                </c:pt>
                <c:pt idx="150">
                  <c:v>0.1464968152866242</c:v>
                </c:pt>
                <c:pt idx="151">
                  <c:v>0.22292993630573249</c:v>
                </c:pt>
                <c:pt idx="152">
                  <c:v>0.20382165605095542</c:v>
                </c:pt>
                <c:pt idx="153">
                  <c:v>0.15923566878980891</c:v>
                </c:pt>
                <c:pt idx="154">
                  <c:v>0.12101910828025478</c:v>
                </c:pt>
                <c:pt idx="155">
                  <c:v>0.19108280254777071</c:v>
                </c:pt>
                <c:pt idx="156">
                  <c:v>0.14743589743589744</c:v>
                </c:pt>
                <c:pt idx="157">
                  <c:v>0.20512820512820512</c:v>
                </c:pt>
                <c:pt idx="158">
                  <c:v>0.22435897435897437</c:v>
                </c:pt>
                <c:pt idx="159">
                  <c:v>0.1858974358974359</c:v>
                </c:pt>
                <c:pt idx="160">
                  <c:v>0.23076923076923078</c:v>
                </c:pt>
                <c:pt idx="161">
                  <c:v>0.19230769230769232</c:v>
                </c:pt>
                <c:pt idx="162">
                  <c:v>0.16025641025641027</c:v>
                </c:pt>
                <c:pt idx="163">
                  <c:v>0.20261437908496732</c:v>
                </c:pt>
                <c:pt idx="164">
                  <c:v>0.22222222222222221</c:v>
                </c:pt>
                <c:pt idx="165">
                  <c:v>0.1437908496732026</c:v>
                </c:pt>
                <c:pt idx="166">
                  <c:v>0.16993464052287582</c:v>
                </c:pt>
                <c:pt idx="167">
                  <c:v>0.17647058823529413</c:v>
                </c:pt>
                <c:pt idx="168">
                  <c:v>0.18300653594771241</c:v>
                </c:pt>
                <c:pt idx="169">
                  <c:v>0.13071895424836602</c:v>
                </c:pt>
                <c:pt idx="170">
                  <c:v>0.22068965517241379</c:v>
                </c:pt>
                <c:pt idx="171">
                  <c:v>0.19310344827586207</c:v>
                </c:pt>
                <c:pt idx="172">
                  <c:v>0.19310344827586207</c:v>
                </c:pt>
                <c:pt idx="173">
                  <c:v>0.2</c:v>
                </c:pt>
                <c:pt idx="174">
                  <c:v>0.24827586206896551</c:v>
                </c:pt>
                <c:pt idx="175">
                  <c:v>0.16551724137931034</c:v>
                </c:pt>
                <c:pt idx="176">
                  <c:v>0.22758620689655173</c:v>
                </c:pt>
                <c:pt idx="177">
                  <c:v>0.18439716312056736</c:v>
                </c:pt>
                <c:pt idx="178">
                  <c:v>0.1702127659574468</c:v>
                </c:pt>
                <c:pt idx="179">
                  <c:v>0.22695035460992907</c:v>
                </c:pt>
                <c:pt idx="180">
                  <c:v>0.20567375886524822</c:v>
                </c:pt>
                <c:pt idx="181">
                  <c:v>0.15602836879432624</c:v>
                </c:pt>
                <c:pt idx="182">
                  <c:v>0.26241134751773049</c:v>
                </c:pt>
                <c:pt idx="183">
                  <c:v>0.1702127659574468</c:v>
                </c:pt>
                <c:pt idx="184">
                  <c:v>0.18421052631578946</c:v>
                </c:pt>
                <c:pt idx="185">
                  <c:v>0.21052631578947367</c:v>
                </c:pt>
                <c:pt idx="186">
                  <c:v>0.24210526315789474</c:v>
                </c:pt>
                <c:pt idx="187">
                  <c:v>0.18947368421052632</c:v>
                </c:pt>
                <c:pt idx="188">
                  <c:v>0.24210526315789474</c:v>
                </c:pt>
                <c:pt idx="189">
                  <c:v>0.18421052631578946</c:v>
                </c:pt>
                <c:pt idx="190">
                  <c:v>0.27894736842105261</c:v>
                </c:pt>
                <c:pt idx="191">
                  <c:v>0.22746781115879827</c:v>
                </c:pt>
                <c:pt idx="192">
                  <c:v>0.22317596566523606</c:v>
                </c:pt>
                <c:pt idx="193">
                  <c:v>0.27896995708154504</c:v>
                </c:pt>
                <c:pt idx="194">
                  <c:v>0.22317596566523606</c:v>
                </c:pt>
                <c:pt idx="195">
                  <c:v>0.26609442060085836</c:v>
                </c:pt>
                <c:pt idx="196">
                  <c:v>0.33047210300429186</c:v>
                </c:pt>
                <c:pt idx="197">
                  <c:v>0.26180257510729615</c:v>
                </c:pt>
                <c:pt idx="198">
                  <c:v>0.25735294117647056</c:v>
                </c:pt>
                <c:pt idx="199">
                  <c:v>0.24264705882352941</c:v>
                </c:pt>
                <c:pt idx="200">
                  <c:v>0.26838235294117646</c:v>
                </c:pt>
                <c:pt idx="201">
                  <c:v>0.26838235294117646</c:v>
                </c:pt>
                <c:pt idx="202">
                  <c:v>0.29411764705882354</c:v>
                </c:pt>
                <c:pt idx="203">
                  <c:v>0.27573529411764708</c:v>
                </c:pt>
                <c:pt idx="204">
                  <c:v>0.33088235294117646</c:v>
                </c:pt>
                <c:pt idx="205">
                  <c:v>0.26440677966101694</c:v>
                </c:pt>
                <c:pt idx="206">
                  <c:v>0.30508474576271188</c:v>
                </c:pt>
                <c:pt idx="207">
                  <c:v>0.29830508474576273</c:v>
                </c:pt>
                <c:pt idx="208">
                  <c:v>0.28135593220338984</c:v>
                </c:pt>
                <c:pt idx="209">
                  <c:v>0.31186440677966104</c:v>
                </c:pt>
                <c:pt idx="210">
                  <c:v>0.33559322033898303</c:v>
                </c:pt>
                <c:pt idx="211">
                  <c:v>0.31525423728813562</c:v>
                </c:pt>
                <c:pt idx="212">
                  <c:v>0.33236994219653176</c:v>
                </c:pt>
                <c:pt idx="213">
                  <c:v>0.31213872832369943</c:v>
                </c:pt>
                <c:pt idx="214">
                  <c:v>0.32369942196531792</c:v>
                </c:pt>
                <c:pt idx="215">
                  <c:v>0.24855491329479767</c:v>
                </c:pt>
                <c:pt idx="216">
                  <c:v>0.2832369942196532</c:v>
                </c:pt>
                <c:pt idx="217">
                  <c:v>0.28901734104046245</c:v>
                </c:pt>
                <c:pt idx="218">
                  <c:v>0.27456647398843931</c:v>
                </c:pt>
                <c:pt idx="219">
                  <c:v>0.28823529411764703</c:v>
                </c:pt>
                <c:pt idx="220">
                  <c:v>0.26470588235294118</c:v>
                </c:pt>
                <c:pt idx="221">
                  <c:v>0.31470588235294117</c:v>
                </c:pt>
                <c:pt idx="222">
                  <c:v>0.29705882352941176</c:v>
                </c:pt>
                <c:pt idx="223">
                  <c:v>0.30588235294117649</c:v>
                </c:pt>
                <c:pt idx="224">
                  <c:v>0.28823529411764703</c:v>
                </c:pt>
                <c:pt idx="225">
                  <c:v>0.29705882352941176</c:v>
                </c:pt>
                <c:pt idx="226">
                  <c:v>0.27089337175792505</c:v>
                </c:pt>
                <c:pt idx="227">
                  <c:v>0.31123919308357351</c:v>
                </c:pt>
                <c:pt idx="228">
                  <c:v>0.29682997118155618</c:v>
                </c:pt>
                <c:pt idx="229">
                  <c:v>0.2737752161383285</c:v>
                </c:pt>
                <c:pt idx="230">
                  <c:v>0.30835734870317005</c:v>
                </c:pt>
                <c:pt idx="231">
                  <c:v>0.33429394812680113</c:v>
                </c:pt>
                <c:pt idx="232">
                  <c:v>0.31412103746397696</c:v>
                </c:pt>
                <c:pt idx="233">
                  <c:v>0.21875</c:v>
                </c:pt>
                <c:pt idx="234">
                  <c:v>0.25520833333333331</c:v>
                </c:pt>
                <c:pt idx="235">
                  <c:v>0.29947916666666669</c:v>
                </c:pt>
                <c:pt idx="236">
                  <c:v>0.24739583333333334</c:v>
                </c:pt>
                <c:pt idx="237">
                  <c:v>0.27604166666666669</c:v>
                </c:pt>
                <c:pt idx="238">
                  <c:v>0.30729166666666669</c:v>
                </c:pt>
                <c:pt idx="239">
                  <c:v>0.33072916666666669</c:v>
                </c:pt>
                <c:pt idx="240">
                  <c:v>0.1702127659574468</c:v>
                </c:pt>
                <c:pt idx="241">
                  <c:v>0.2144026186579378</c:v>
                </c:pt>
                <c:pt idx="242">
                  <c:v>0.21276595744680851</c:v>
                </c:pt>
                <c:pt idx="243">
                  <c:v>0.22585924713584288</c:v>
                </c:pt>
                <c:pt idx="244">
                  <c:v>0.27332242225859249</c:v>
                </c:pt>
                <c:pt idx="245">
                  <c:v>0.27823240589198034</c:v>
                </c:pt>
                <c:pt idx="246">
                  <c:v>0.27004909983633391</c:v>
                </c:pt>
                <c:pt idx="247">
                  <c:v>0.20926966292134833</c:v>
                </c:pt>
                <c:pt idx="248">
                  <c:v>0.21207865168539325</c:v>
                </c:pt>
                <c:pt idx="249">
                  <c:v>0.24297752808988765</c:v>
                </c:pt>
                <c:pt idx="250">
                  <c:v>0.21067415730337077</c:v>
                </c:pt>
                <c:pt idx="251">
                  <c:v>0.22752808988764045</c:v>
                </c:pt>
                <c:pt idx="252">
                  <c:v>0.24578651685393257</c:v>
                </c:pt>
                <c:pt idx="253">
                  <c:v>0.24719101123595505</c:v>
                </c:pt>
                <c:pt idx="254">
                  <c:v>0.23316062176165803</c:v>
                </c:pt>
                <c:pt idx="255">
                  <c:v>0.21761658031088082</c:v>
                </c:pt>
                <c:pt idx="256">
                  <c:v>0.23963730569948186</c:v>
                </c:pt>
                <c:pt idx="257">
                  <c:v>0.2344559585492228</c:v>
                </c:pt>
                <c:pt idx="258">
                  <c:v>0.22279792746113988</c:v>
                </c:pt>
                <c:pt idx="259">
                  <c:v>0.2422279792746114</c:v>
                </c:pt>
                <c:pt idx="260">
                  <c:v>0.28238341968911918</c:v>
                </c:pt>
                <c:pt idx="261">
                  <c:v>0.28048780487804881</c:v>
                </c:pt>
                <c:pt idx="262">
                  <c:v>0.29573170731707316</c:v>
                </c:pt>
                <c:pt idx="263">
                  <c:v>0.19969512195121952</c:v>
                </c:pt>
                <c:pt idx="264">
                  <c:v>0.26829268292682928</c:v>
                </c:pt>
                <c:pt idx="265">
                  <c:v>0.2073170731707317</c:v>
                </c:pt>
                <c:pt idx="266">
                  <c:v>0.23323170731707318</c:v>
                </c:pt>
                <c:pt idx="267">
                  <c:v>0.2423780487804878</c:v>
                </c:pt>
                <c:pt idx="268">
                  <c:v>0.21633888048411498</c:v>
                </c:pt>
                <c:pt idx="269">
                  <c:v>0.23600605143721634</c:v>
                </c:pt>
                <c:pt idx="270">
                  <c:v>0.22844175491679275</c:v>
                </c:pt>
                <c:pt idx="271">
                  <c:v>0.22390317700453857</c:v>
                </c:pt>
                <c:pt idx="272">
                  <c:v>0.2783661119515885</c:v>
                </c:pt>
                <c:pt idx="273">
                  <c:v>0.30862329803328292</c:v>
                </c:pt>
                <c:pt idx="274">
                  <c:v>0.32526475037821484</c:v>
                </c:pt>
                <c:pt idx="275">
                  <c:v>0.2832618025751073</c:v>
                </c:pt>
                <c:pt idx="276">
                  <c:v>0.28469241773962806</c:v>
                </c:pt>
                <c:pt idx="277">
                  <c:v>0.26895565092989987</c:v>
                </c:pt>
                <c:pt idx="278">
                  <c:v>0.28183118741058655</c:v>
                </c:pt>
                <c:pt idx="279">
                  <c:v>0.27467811158798283</c:v>
                </c:pt>
                <c:pt idx="280">
                  <c:v>0.28612303290414881</c:v>
                </c:pt>
                <c:pt idx="281">
                  <c:v>0.27467811158798283</c:v>
                </c:pt>
                <c:pt idx="282">
                  <c:v>0.28013029315960913</c:v>
                </c:pt>
                <c:pt idx="283">
                  <c:v>0.26058631921824105</c:v>
                </c:pt>
                <c:pt idx="284">
                  <c:v>0.2736156351791531</c:v>
                </c:pt>
                <c:pt idx="285">
                  <c:v>0.27850162866449513</c:v>
                </c:pt>
                <c:pt idx="286">
                  <c:v>0.250814332247557</c:v>
                </c:pt>
                <c:pt idx="287">
                  <c:v>0.23778501628664495</c:v>
                </c:pt>
                <c:pt idx="288">
                  <c:v>0.27035830618892509</c:v>
                </c:pt>
                <c:pt idx="289">
                  <c:v>0.24587155963302754</c:v>
                </c:pt>
                <c:pt idx="290">
                  <c:v>0.27339449541284405</c:v>
                </c:pt>
                <c:pt idx="291">
                  <c:v>0.24220183486238533</c:v>
                </c:pt>
                <c:pt idx="292">
                  <c:v>0.24036697247706423</c:v>
                </c:pt>
                <c:pt idx="293">
                  <c:v>0.19082568807339451</c:v>
                </c:pt>
                <c:pt idx="294">
                  <c:v>0.19266055045871561</c:v>
                </c:pt>
                <c:pt idx="295">
                  <c:v>0.19266055045871561</c:v>
                </c:pt>
                <c:pt idx="296">
                  <c:v>0.2132701421800948</c:v>
                </c:pt>
                <c:pt idx="297">
                  <c:v>0.23933649289099526</c:v>
                </c:pt>
                <c:pt idx="298">
                  <c:v>0.21800947867298578</c:v>
                </c:pt>
                <c:pt idx="299">
                  <c:v>0.16113744075829384</c:v>
                </c:pt>
                <c:pt idx="300">
                  <c:v>0.17772511848341233</c:v>
                </c:pt>
                <c:pt idx="301">
                  <c:v>0.17298578199052134</c:v>
                </c:pt>
                <c:pt idx="302">
                  <c:v>0.16824644549763032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10-4153-8769-56C1542A0E9F}"/>
            </c:ext>
          </c:extLst>
        </c:ser>
        <c:ser>
          <c:idx val="1"/>
          <c:order val="1"/>
          <c:tx>
            <c:strRef>
              <c:f>Overall!$L$1</c:f>
              <c:strCache>
                <c:ptCount val="1"/>
                <c:pt idx="0">
                  <c:v>SFM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Overall!$E$2:$E$304</c:f>
              <c:numCache>
                <c:formatCode>m/d/yyyy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Overall!$L$2:$L$304</c:f>
              <c:numCache>
                <c:formatCode>0.00%</c:formatCode>
                <c:ptCount val="303"/>
                <c:pt idx="0">
                  <c:v>1.5544041450777202E-2</c:v>
                </c:pt>
                <c:pt idx="1">
                  <c:v>3.1088082901554404E-2</c:v>
                </c:pt>
                <c:pt idx="2">
                  <c:v>2.5906735751295335E-2</c:v>
                </c:pt>
                <c:pt idx="3">
                  <c:v>5.181347150259067E-2</c:v>
                </c:pt>
                <c:pt idx="4">
                  <c:v>2.5906735751295335E-2</c:v>
                </c:pt>
                <c:pt idx="5">
                  <c:v>6.7357512953367879E-2</c:v>
                </c:pt>
                <c:pt idx="6">
                  <c:v>0.11398963730569948</c:v>
                </c:pt>
                <c:pt idx="7">
                  <c:v>0.11398963730569948</c:v>
                </c:pt>
                <c:pt idx="8">
                  <c:v>0.13471502590673576</c:v>
                </c:pt>
                <c:pt idx="9">
                  <c:v>0.11917098445595854</c:v>
                </c:pt>
                <c:pt idx="10">
                  <c:v>0.12435233160621761</c:v>
                </c:pt>
                <c:pt idx="11">
                  <c:v>0.15544041450777202</c:v>
                </c:pt>
                <c:pt idx="12">
                  <c:v>0.16580310880829016</c:v>
                </c:pt>
                <c:pt idx="13">
                  <c:v>0.12953367875647667</c:v>
                </c:pt>
                <c:pt idx="14">
                  <c:v>0.17616580310880828</c:v>
                </c:pt>
                <c:pt idx="15">
                  <c:v>0.20207253886010362</c:v>
                </c:pt>
                <c:pt idx="16">
                  <c:v>0.11398963730569948</c:v>
                </c:pt>
                <c:pt idx="17">
                  <c:v>0.19689119170984457</c:v>
                </c:pt>
                <c:pt idx="18">
                  <c:v>0.17616580310880828</c:v>
                </c:pt>
                <c:pt idx="19">
                  <c:v>0.25906735751295334</c:v>
                </c:pt>
                <c:pt idx="20">
                  <c:v>0.22279792746113988</c:v>
                </c:pt>
                <c:pt idx="21">
                  <c:v>0.22279792746113988</c:v>
                </c:pt>
                <c:pt idx="22">
                  <c:v>0.27461139896373055</c:v>
                </c:pt>
                <c:pt idx="23">
                  <c:v>0.32642487046632124</c:v>
                </c:pt>
                <c:pt idx="24">
                  <c:v>0.24870466321243523</c:v>
                </c:pt>
                <c:pt idx="25">
                  <c:v>0.30569948186528495</c:v>
                </c:pt>
                <c:pt idx="26">
                  <c:v>0.30569948186528495</c:v>
                </c:pt>
                <c:pt idx="27">
                  <c:v>0.31606217616580312</c:v>
                </c:pt>
                <c:pt idx="28">
                  <c:v>0.33160621761658032</c:v>
                </c:pt>
                <c:pt idx="29">
                  <c:v>0.33160621761658032</c:v>
                </c:pt>
                <c:pt idx="30">
                  <c:v>0.14207650273224043</c:v>
                </c:pt>
                <c:pt idx="31">
                  <c:v>0.16939890710382513</c:v>
                </c:pt>
                <c:pt idx="32">
                  <c:v>0.15027322404371585</c:v>
                </c:pt>
                <c:pt idx="33">
                  <c:v>0.16393442622950818</c:v>
                </c:pt>
                <c:pt idx="34">
                  <c:v>0.14207650273224043</c:v>
                </c:pt>
                <c:pt idx="35">
                  <c:v>0.16939890710382513</c:v>
                </c:pt>
                <c:pt idx="36">
                  <c:v>0.16120218579234974</c:v>
                </c:pt>
                <c:pt idx="37">
                  <c:v>0.15846994535519127</c:v>
                </c:pt>
                <c:pt idx="38">
                  <c:v>0.1448087431693989</c:v>
                </c:pt>
                <c:pt idx="39">
                  <c:v>0.15027322404371585</c:v>
                </c:pt>
                <c:pt idx="40">
                  <c:v>0.17759562841530055</c:v>
                </c:pt>
                <c:pt idx="41">
                  <c:v>0.14754098360655737</c:v>
                </c:pt>
                <c:pt idx="42">
                  <c:v>0.20218579234972678</c:v>
                </c:pt>
                <c:pt idx="43">
                  <c:v>0.16120218579234974</c:v>
                </c:pt>
                <c:pt idx="44">
                  <c:v>0.14754098360655737</c:v>
                </c:pt>
                <c:pt idx="45">
                  <c:v>0.18579234972677597</c:v>
                </c:pt>
                <c:pt idx="46">
                  <c:v>0.16120218579234974</c:v>
                </c:pt>
                <c:pt idx="47">
                  <c:v>0.16666666666666666</c:v>
                </c:pt>
                <c:pt idx="48">
                  <c:v>0.15846994535519127</c:v>
                </c:pt>
                <c:pt idx="49">
                  <c:v>0.1830601092896175</c:v>
                </c:pt>
                <c:pt idx="50">
                  <c:v>0.16939890710382513</c:v>
                </c:pt>
                <c:pt idx="51">
                  <c:v>0.1448087431693989</c:v>
                </c:pt>
                <c:pt idx="52">
                  <c:v>0.16393442622950818</c:v>
                </c:pt>
                <c:pt idx="53">
                  <c:v>0.1830601092896175</c:v>
                </c:pt>
                <c:pt idx="54">
                  <c:v>0.1830601092896175</c:v>
                </c:pt>
                <c:pt idx="55">
                  <c:v>0.16666666666666666</c:v>
                </c:pt>
                <c:pt idx="56">
                  <c:v>0.1721311475409836</c:v>
                </c:pt>
                <c:pt idx="57">
                  <c:v>0.16666666666666666</c:v>
                </c:pt>
                <c:pt idx="58">
                  <c:v>0.14754098360655737</c:v>
                </c:pt>
                <c:pt idx="59">
                  <c:v>0.19672131147540983</c:v>
                </c:pt>
                <c:pt idx="60">
                  <c:v>0.14754098360655737</c:v>
                </c:pt>
                <c:pt idx="61">
                  <c:v>0.17460317460317459</c:v>
                </c:pt>
                <c:pt idx="62">
                  <c:v>0.16137566137566137</c:v>
                </c:pt>
                <c:pt idx="63">
                  <c:v>0.15343915343915343</c:v>
                </c:pt>
                <c:pt idx="64">
                  <c:v>0.1693121693121693</c:v>
                </c:pt>
                <c:pt idx="65">
                  <c:v>0.16402116402116401</c:v>
                </c:pt>
                <c:pt idx="66">
                  <c:v>0.12169312169312169</c:v>
                </c:pt>
                <c:pt idx="67">
                  <c:v>0.12962962962962962</c:v>
                </c:pt>
                <c:pt idx="68">
                  <c:v>0.15608465608465608</c:v>
                </c:pt>
                <c:pt idx="69">
                  <c:v>0.15873015873015872</c:v>
                </c:pt>
                <c:pt idx="70">
                  <c:v>0.1402116402116402</c:v>
                </c:pt>
                <c:pt idx="71">
                  <c:v>0.16137566137566137</c:v>
                </c:pt>
                <c:pt idx="72">
                  <c:v>0.15343915343915343</c:v>
                </c:pt>
                <c:pt idx="73">
                  <c:v>0.1693121693121693</c:v>
                </c:pt>
                <c:pt idx="74">
                  <c:v>0.17195767195767195</c:v>
                </c:pt>
                <c:pt idx="75">
                  <c:v>0.19576719576719576</c:v>
                </c:pt>
                <c:pt idx="76">
                  <c:v>0.15343915343915343</c:v>
                </c:pt>
                <c:pt idx="77">
                  <c:v>0.16402116402116401</c:v>
                </c:pt>
                <c:pt idx="78">
                  <c:v>0.18253968253968253</c:v>
                </c:pt>
                <c:pt idx="79">
                  <c:v>0.17460317460317459</c:v>
                </c:pt>
                <c:pt idx="80">
                  <c:v>0.17724867724867724</c:v>
                </c:pt>
                <c:pt idx="81">
                  <c:v>0.18783068783068782</c:v>
                </c:pt>
                <c:pt idx="82">
                  <c:v>0.17724867724867724</c:v>
                </c:pt>
                <c:pt idx="83">
                  <c:v>0.14550264550264549</c:v>
                </c:pt>
                <c:pt idx="84">
                  <c:v>0.15343915343915343</c:v>
                </c:pt>
                <c:pt idx="85">
                  <c:v>0.19312169312169311</c:v>
                </c:pt>
                <c:pt idx="86">
                  <c:v>0.15343915343915343</c:v>
                </c:pt>
                <c:pt idx="87">
                  <c:v>0.20105820105820105</c:v>
                </c:pt>
                <c:pt idx="88">
                  <c:v>0.16402116402116401</c:v>
                </c:pt>
                <c:pt idx="89">
                  <c:v>0.17460317460317459</c:v>
                </c:pt>
                <c:pt idx="90">
                  <c:v>0.15608465608465608</c:v>
                </c:pt>
                <c:pt idx="91">
                  <c:v>0.15521628498727735</c:v>
                </c:pt>
                <c:pt idx="92">
                  <c:v>0.13231552162849872</c:v>
                </c:pt>
                <c:pt idx="93">
                  <c:v>0.17557251908396945</c:v>
                </c:pt>
                <c:pt idx="94">
                  <c:v>0.17811704834605599</c:v>
                </c:pt>
                <c:pt idx="95">
                  <c:v>0.11450381679389313</c:v>
                </c:pt>
                <c:pt idx="96">
                  <c:v>0.19592875318066158</c:v>
                </c:pt>
                <c:pt idx="97">
                  <c:v>0.15521628498727735</c:v>
                </c:pt>
                <c:pt idx="98">
                  <c:v>0.14249363867684478</c:v>
                </c:pt>
                <c:pt idx="99">
                  <c:v>0.16793893129770993</c:v>
                </c:pt>
                <c:pt idx="100">
                  <c:v>0.12977099236641221</c:v>
                </c:pt>
                <c:pt idx="101">
                  <c:v>0.15012722646310434</c:v>
                </c:pt>
                <c:pt idx="102">
                  <c:v>0.16539440203562342</c:v>
                </c:pt>
                <c:pt idx="103">
                  <c:v>0.13486005089058525</c:v>
                </c:pt>
                <c:pt idx="104">
                  <c:v>0.18320610687022901</c:v>
                </c:pt>
                <c:pt idx="105">
                  <c:v>0.15776081424936386</c:v>
                </c:pt>
                <c:pt idx="106">
                  <c:v>0.15776081424936386</c:v>
                </c:pt>
                <c:pt idx="107">
                  <c:v>0.17811704834605599</c:v>
                </c:pt>
                <c:pt idx="108">
                  <c:v>0.15776081424936386</c:v>
                </c:pt>
                <c:pt idx="109">
                  <c:v>0.20865139949109415</c:v>
                </c:pt>
                <c:pt idx="110">
                  <c:v>0.13231552162849872</c:v>
                </c:pt>
                <c:pt idx="111">
                  <c:v>0.16539440203562342</c:v>
                </c:pt>
                <c:pt idx="112">
                  <c:v>0.16284987277353691</c:v>
                </c:pt>
                <c:pt idx="113">
                  <c:v>0.14503816793893129</c:v>
                </c:pt>
                <c:pt idx="114">
                  <c:v>0.1475826972010178</c:v>
                </c:pt>
                <c:pt idx="115">
                  <c:v>0.16793893129770993</c:v>
                </c:pt>
                <c:pt idx="116">
                  <c:v>0.15267175572519084</c:v>
                </c:pt>
                <c:pt idx="117">
                  <c:v>0.13994910941475827</c:v>
                </c:pt>
                <c:pt idx="118">
                  <c:v>0.16539440203562342</c:v>
                </c:pt>
                <c:pt idx="119">
                  <c:v>0.13740458015267176</c:v>
                </c:pt>
                <c:pt idx="120">
                  <c:v>0.16793893129770993</c:v>
                </c:pt>
                <c:pt idx="121">
                  <c:v>0.18320610687022901</c:v>
                </c:pt>
                <c:pt idx="122">
                  <c:v>0.13615023474178403</c:v>
                </c:pt>
                <c:pt idx="123">
                  <c:v>0.12910798122065728</c:v>
                </c:pt>
                <c:pt idx="124">
                  <c:v>0.13145539906103287</c:v>
                </c:pt>
                <c:pt idx="125">
                  <c:v>0.14788732394366197</c:v>
                </c:pt>
                <c:pt idx="126">
                  <c:v>0.1619718309859155</c:v>
                </c:pt>
                <c:pt idx="127">
                  <c:v>0.14553990610328638</c:v>
                </c:pt>
                <c:pt idx="128">
                  <c:v>0.14084507042253522</c:v>
                </c:pt>
                <c:pt idx="129">
                  <c:v>0.14084507042253522</c:v>
                </c:pt>
                <c:pt idx="130">
                  <c:v>0.14084507042253522</c:v>
                </c:pt>
                <c:pt idx="131">
                  <c:v>0.12910798122065728</c:v>
                </c:pt>
                <c:pt idx="132">
                  <c:v>0.14553990610328638</c:v>
                </c:pt>
                <c:pt idx="133">
                  <c:v>0.12441314553990611</c:v>
                </c:pt>
                <c:pt idx="134">
                  <c:v>0.12676056338028169</c:v>
                </c:pt>
                <c:pt idx="135">
                  <c:v>0.107981220657277</c:v>
                </c:pt>
                <c:pt idx="136">
                  <c:v>0.12910798122065728</c:v>
                </c:pt>
                <c:pt idx="137">
                  <c:v>0.11971830985915492</c:v>
                </c:pt>
                <c:pt idx="138">
                  <c:v>0.13615023474178403</c:v>
                </c:pt>
                <c:pt idx="139">
                  <c:v>0.11971830985915492</c:v>
                </c:pt>
                <c:pt idx="140">
                  <c:v>9.3896713615023469E-2</c:v>
                </c:pt>
                <c:pt idx="141">
                  <c:v>0.11737089201877934</c:v>
                </c:pt>
                <c:pt idx="142">
                  <c:v>7.9812206572769953E-2</c:v>
                </c:pt>
                <c:pt idx="143">
                  <c:v>9.6244131455399062E-2</c:v>
                </c:pt>
                <c:pt idx="144">
                  <c:v>9.154929577464789E-2</c:v>
                </c:pt>
                <c:pt idx="145">
                  <c:v>7.5117370892018781E-2</c:v>
                </c:pt>
                <c:pt idx="146">
                  <c:v>7.5117370892018781E-2</c:v>
                </c:pt>
                <c:pt idx="147">
                  <c:v>7.2769953051643188E-2</c:v>
                </c:pt>
                <c:pt idx="148">
                  <c:v>8.2159624413145546E-2</c:v>
                </c:pt>
                <c:pt idx="149">
                  <c:v>7.5117370892018781E-2</c:v>
                </c:pt>
                <c:pt idx="150">
                  <c:v>5.39906103286385E-2</c:v>
                </c:pt>
                <c:pt idx="151">
                  <c:v>8.2159624413145546E-2</c:v>
                </c:pt>
                <c:pt idx="152">
                  <c:v>8.2051282051282051E-2</c:v>
                </c:pt>
                <c:pt idx="153">
                  <c:v>6.4102564102564097E-2</c:v>
                </c:pt>
                <c:pt idx="154">
                  <c:v>4.8717948717948718E-2</c:v>
                </c:pt>
                <c:pt idx="155">
                  <c:v>7.6923076923076927E-2</c:v>
                </c:pt>
                <c:pt idx="156">
                  <c:v>5.8974358974358973E-2</c:v>
                </c:pt>
                <c:pt idx="157">
                  <c:v>8.2051282051282051E-2</c:v>
                </c:pt>
                <c:pt idx="158">
                  <c:v>8.9743589743589744E-2</c:v>
                </c:pt>
                <c:pt idx="159">
                  <c:v>7.4358974358974358E-2</c:v>
                </c:pt>
                <c:pt idx="160">
                  <c:v>9.2307692307692313E-2</c:v>
                </c:pt>
                <c:pt idx="161">
                  <c:v>7.6923076923076927E-2</c:v>
                </c:pt>
                <c:pt idx="162">
                  <c:v>6.4102564102564097E-2</c:v>
                </c:pt>
                <c:pt idx="163">
                  <c:v>7.9487179487179482E-2</c:v>
                </c:pt>
                <c:pt idx="164">
                  <c:v>8.7179487179487175E-2</c:v>
                </c:pt>
                <c:pt idx="165">
                  <c:v>5.6410256410256411E-2</c:v>
                </c:pt>
                <c:pt idx="166">
                  <c:v>6.6666666666666666E-2</c:v>
                </c:pt>
                <c:pt idx="167">
                  <c:v>6.9230769230769235E-2</c:v>
                </c:pt>
                <c:pt idx="168">
                  <c:v>7.179487179487179E-2</c:v>
                </c:pt>
                <c:pt idx="169">
                  <c:v>5.128205128205128E-2</c:v>
                </c:pt>
                <c:pt idx="170">
                  <c:v>8.2051282051282051E-2</c:v>
                </c:pt>
                <c:pt idx="171">
                  <c:v>7.179487179487179E-2</c:v>
                </c:pt>
                <c:pt idx="172">
                  <c:v>7.179487179487179E-2</c:v>
                </c:pt>
                <c:pt idx="173">
                  <c:v>7.4358974358974358E-2</c:v>
                </c:pt>
                <c:pt idx="174">
                  <c:v>9.2307692307692313E-2</c:v>
                </c:pt>
                <c:pt idx="175">
                  <c:v>6.1538461538461542E-2</c:v>
                </c:pt>
                <c:pt idx="176">
                  <c:v>8.461538461538462E-2</c:v>
                </c:pt>
                <c:pt idx="177">
                  <c:v>6.6666666666666666E-2</c:v>
                </c:pt>
                <c:pt idx="178">
                  <c:v>6.1538461538461542E-2</c:v>
                </c:pt>
                <c:pt idx="179">
                  <c:v>8.2051282051282051E-2</c:v>
                </c:pt>
                <c:pt idx="180">
                  <c:v>7.4358974358974358E-2</c:v>
                </c:pt>
                <c:pt idx="181">
                  <c:v>5.6410256410256411E-2</c:v>
                </c:pt>
                <c:pt idx="182">
                  <c:v>9.4871794871794868E-2</c:v>
                </c:pt>
                <c:pt idx="183">
                  <c:v>4.4776119402985072E-2</c:v>
                </c:pt>
                <c:pt idx="184">
                  <c:v>6.5298507462686561E-2</c:v>
                </c:pt>
                <c:pt idx="185">
                  <c:v>7.4626865671641784E-2</c:v>
                </c:pt>
                <c:pt idx="186">
                  <c:v>8.5820895522388058E-2</c:v>
                </c:pt>
                <c:pt idx="187">
                  <c:v>6.7164179104477612E-2</c:v>
                </c:pt>
                <c:pt idx="188">
                  <c:v>8.5820895522388058E-2</c:v>
                </c:pt>
                <c:pt idx="189">
                  <c:v>6.5298507462686561E-2</c:v>
                </c:pt>
                <c:pt idx="190">
                  <c:v>9.8880597014925367E-2</c:v>
                </c:pt>
                <c:pt idx="191">
                  <c:v>9.8880597014925367E-2</c:v>
                </c:pt>
                <c:pt idx="192">
                  <c:v>9.7014925373134331E-2</c:v>
                </c:pt>
                <c:pt idx="193">
                  <c:v>0.12126865671641791</c:v>
                </c:pt>
                <c:pt idx="194">
                  <c:v>9.7014925373134331E-2</c:v>
                </c:pt>
                <c:pt idx="195">
                  <c:v>0.11567164179104478</c:v>
                </c:pt>
                <c:pt idx="196">
                  <c:v>0.14365671641791045</c:v>
                </c:pt>
                <c:pt idx="197">
                  <c:v>0.11380597014925373</c:v>
                </c:pt>
                <c:pt idx="198">
                  <c:v>0.13059701492537312</c:v>
                </c:pt>
                <c:pt idx="199">
                  <c:v>0.12313432835820895</c:v>
                </c:pt>
                <c:pt idx="200">
                  <c:v>0.13619402985074627</c:v>
                </c:pt>
                <c:pt idx="201">
                  <c:v>0.13619402985074627</c:v>
                </c:pt>
                <c:pt idx="202">
                  <c:v>0.14925373134328357</c:v>
                </c:pt>
                <c:pt idx="203">
                  <c:v>0.13992537313432835</c:v>
                </c:pt>
                <c:pt idx="204">
                  <c:v>0.16791044776119404</c:v>
                </c:pt>
                <c:pt idx="205">
                  <c:v>0.1455223880597015</c:v>
                </c:pt>
                <c:pt idx="206">
                  <c:v>0.16791044776119404</c:v>
                </c:pt>
                <c:pt idx="207">
                  <c:v>0.16417910447761194</c:v>
                </c:pt>
                <c:pt idx="208">
                  <c:v>0.15485074626865672</c:v>
                </c:pt>
                <c:pt idx="209">
                  <c:v>0.17164179104477612</c:v>
                </c:pt>
                <c:pt idx="210">
                  <c:v>0.18470149253731344</c:v>
                </c:pt>
                <c:pt idx="211">
                  <c:v>0.17350746268656717</c:v>
                </c:pt>
                <c:pt idx="212">
                  <c:v>0.21455223880597016</c:v>
                </c:pt>
                <c:pt idx="213">
                  <c:v>0.20149253731343283</c:v>
                </c:pt>
                <c:pt idx="214">
                  <c:v>0.16091954022988506</c:v>
                </c:pt>
                <c:pt idx="215">
                  <c:v>0.1235632183908046</c:v>
                </c:pt>
                <c:pt idx="216">
                  <c:v>0.14080459770114942</c:v>
                </c:pt>
                <c:pt idx="217">
                  <c:v>0.14367816091954022</c:v>
                </c:pt>
                <c:pt idx="218">
                  <c:v>0.13649425287356323</c:v>
                </c:pt>
                <c:pt idx="219">
                  <c:v>0.14080459770114942</c:v>
                </c:pt>
                <c:pt idx="220">
                  <c:v>0.12931034482758622</c:v>
                </c:pt>
                <c:pt idx="221">
                  <c:v>0.15373563218390804</c:v>
                </c:pt>
                <c:pt idx="222">
                  <c:v>0.14511494252873564</c:v>
                </c:pt>
                <c:pt idx="223">
                  <c:v>0.14942528735632185</c:v>
                </c:pt>
                <c:pt idx="224">
                  <c:v>0.14080459770114942</c:v>
                </c:pt>
                <c:pt idx="225">
                  <c:v>0.14511494252873564</c:v>
                </c:pt>
                <c:pt idx="226">
                  <c:v>0.13505747126436782</c:v>
                </c:pt>
                <c:pt idx="227">
                  <c:v>0.15517241379310345</c:v>
                </c:pt>
                <c:pt idx="228">
                  <c:v>0.14798850574712644</c:v>
                </c:pt>
                <c:pt idx="229">
                  <c:v>0.13649425287356323</c:v>
                </c:pt>
                <c:pt idx="230">
                  <c:v>0.15373563218390804</c:v>
                </c:pt>
                <c:pt idx="231">
                  <c:v>0.16666666666666666</c:v>
                </c:pt>
                <c:pt idx="232">
                  <c:v>0.15660919540229884</c:v>
                </c:pt>
                <c:pt idx="233">
                  <c:v>0.1206896551724138</c:v>
                </c:pt>
                <c:pt idx="234">
                  <c:v>0.14080459770114942</c:v>
                </c:pt>
                <c:pt idx="235">
                  <c:v>0.16522988505747127</c:v>
                </c:pt>
                <c:pt idx="236">
                  <c:v>0.13649425287356323</c:v>
                </c:pt>
                <c:pt idx="237">
                  <c:v>0.15229885057471265</c:v>
                </c:pt>
                <c:pt idx="238">
                  <c:v>0.16954022988505746</c:v>
                </c:pt>
                <c:pt idx="239">
                  <c:v>0.18247126436781611</c:v>
                </c:pt>
                <c:pt idx="240">
                  <c:v>0.14942528735632185</c:v>
                </c:pt>
                <c:pt idx="241">
                  <c:v>0.18821839080459771</c:v>
                </c:pt>
                <c:pt idx="242">
                  <c:v>8.4196891191709838E-2</c:v>
                </c:pt>
                <c:pt idx="243">
                  <c:v>8.937823834196891E-2</c:v>
                </c:pt>
                <c:pt idx="244">
                  <c:v>0.10816062176165803</c:v>
                </c:pt>
                <c:pt idx="245">
                  <c:v>0.11010362694300518</c:v>
                </c:pt>
                <c:pt idx="246">
                  <c:v>0.10686528497409327</c:v>
                </c:pt>
                <c:pt idx="247">
                  <c:v>9.6502590673575125E-2</c:v>
                </c:pt>
                <c:pt idx="248">
                  <c:v>9.7797927461139897E-2</c:v>
                </c:pt>
                <c:pt idx="249">
                  <c:v>0.11204663212435233</c:v>
                </c:pt>
                <c:pt idx="250">
                  <c:v>9.7150259067357511E-2</c:v>
                </c:pt>
                <c:pt idx="251">
                  <c:v>0.10492227979274611</c:v>
                </c:pt>
                <c:pt idx="252">
                  <c:v>0.1133419689119171</c:v>
                </c:pt>
                <c:pt idx="253">
                  <c:v>0.11398963730569948</c:v>
                </c:pt>
                <c:pt idx="254">
                  <c:v>0.11658031088082901</c:v>
                </c:pt>
                <c:pt idx="255">
                  <c:v>0.10880829015544041</c:v>
                </c:pt>
                <c:pt idx="256">
                  <c:v>0.11981865284974093</c:v>
                </c:pt>
                <c:pt idx="257">
                  <c:v>0.1172279792746114</c:v>
                </c:pt>
                <c:pt idx="258">
                  <c:v>0.11139896373056994</c:v>
                </c:pt>
                <c:pt idx="259">
                  <c:v>0.1211139896373057</c:v>
                </c:pt>
                <c:pt idx="260">
                  <c:v>0.14119170984455959</c:v>
                </c:pt>
                <c:pt idx="261">
                  <c:v>0.11917098445595854</c:v>
                </c:pt>
                <c:pt idx="262">
                  <c:v>0.12564766839378239</c:v>
                </c:pt>
                <c:pt idx="263">
                  <c:v>8.4844559585492224E-2</c:v>
                </c:pt>
                <c:pt idx="264">
                  <c:v>0.11398963730569948</c:v>
                </c:pt>
                <c:pt idx="265">
                  <c:v>8.8082901554404139E-2</c:v>
                </c:pt>
                <c:pt idx="266">
                  <c:v>9.9093264248704668E-2</c:v>
                </c:pt>
                <c:pt idx="267">
                  <c:v>0.10297927461139897</c:v>
                </c:pt>
                <c:pt idx="268">
                  <c:v>9.2616580310880825E-2</c:v>
                </c:pt>
                <c:pt idx="269">
                  <c:v>0.10103626943005181</c:v>
                </c:pt>
                <c:pt idx="270">
                  <c:v>9.7797927461139897E-2</c:v>
                </c:pt>
                <c:pt idx="271">
                  <c:v>9.585492227979274E-2</c:v>
                </c:pt>
                <c:pt idx="272">
                  <c:v>0.11917098445595854</c:v>
                </c:pt>
                <c:pt idx="273">
                  <c:v>0.19863680623174293</c:v>
                </c:pt>
                <c:pt idx="274">
                  <c:v>0.20934761441090555</c:v>
                </c:pt>
                <c:pt idx="275">
                  <c:v>0.19279454722492698</c:v>
                </c:pt>
                <c:pt idx="276">
                  <c:v>0.19376825705939629</c:v>
                </c:pt>
                <c:pt idx="277">
                  <c:v>0.1830574488802337</c:v>
                </c:pt>
                <c:pt idx="278">
                  <c:v>0.19182083739045763</c:v>
                </c:pt>
                <c:pt idx="279">
                  <c:v>0.186952288218111</c:v>
                </c:pt>
                <c:pt idx="280">
                  <c:v>0.19474196689386564</c:v>
                </c:pt>
                <c:pt idx="281">
                  <c:v>0.186952288218111</c:v>
                </c:pt>
                <c:pt idx="282">
                  <c:v>0.16747809152872445</c:v>
                </c:pt>
                <c:pt idx="283">
                  <c:v>0.15579357351509251</c:v>
                </c:pt>
                <c:pt idx="284">
                  <c:v>0.16358325219084713</c:v>
                </c:pt>
                <c:pt idx="285">
                  <c:v>0.1665043816942551</c:v>
                </c:pt>
                <c:pt idx="286">
                  <c:v>0.14995131450827653</c:v>
                </c:pt>
                <c:pt idx="287">
                  <c:v>0.14216163583252192</c:v>
                </c:pt>
                <c:pt idx="288">
                  <c:v>0.16163583252190847</c:v>
                </c:pt>
                <c:pt idx="289">
                  <c:v>0.13047711781888996</c:v>
                </c:pt>
                <c:pt idx="290">
                  <c:v>0.1450827653359299</c:v>
                </c:pt>
                <c:pt idx="291">
                  <c:v>0.12852969814995133</c:v>
                </c:pt>
                <c:pt idx="292">
                  <c:v>0.12755598831548198</c:v>
                </c:pt>
                <c:pt idx="293">
                  <c:v>0.10126582278481013</c:v>
                </c:pt>
                <c:pt idx="294">
                  <c:v>0.10223953261927946</c:v>
                </c:pt>
                <c:pt idx="295">
                  <c:v>0.10223953261927946</c:v>
                </c:pt>
                <c:pt idx="296">
                  <c:v>8.7633885102239531E-2</c:v>
                </c:pt>
                <c:pt idx="297">
                  <c:v>9.8344693281402148E-2</c:v>
                </c:pt>
                <c:pt idx="298">
                  <c:v>8.9581304771178191E-2</c:v>
                </c:pt>
                <c:pt idx="299">
                  <c:v>6.621226874391431E-2</c:v>
                </c:pt>
                <c:pt idx="300">
                  <c:v>7.3028237585199607E-2</c:v>
                </c:pt>
                <c:pt idx="301">
                  <c:v>7.108081791626096E-2</c:v>
                </c:pt>
                <c:pt idx="302">
                  <c:v>6.91333982473223E-2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10-4153-8769-56C1542A0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7798671"/>
        <c:axId val="987813071"/>
      </c:lineChart>
      <c:dateAx>
        <c:axId val="987798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Дата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7813071"/>
        <c:crosses val="autoZero"/>
        <c:auto val="1"/>
        <c:lblOffset val="100"/>
        <c:baseTimeUnit val="days"/>
      </c:dateAx>
      <c:valAx>
        <c:axId val="98781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Значения факторов </a:t>
                </a:r>
                <a:r>
                  <a:rPr lang="en-US"/>
                  <a:t>SFW </a:t>
                </a:r>
                <a:r>
                  <a:rPr lang="ru-RU"/>
                  <a:t>и </a:t>
                </a:r>
                <a:r>
                  <a:rPr lang="en-US"/>
                  <a:t>SFM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7798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Динамика </a:t>
            </a:r>
            <a:r>
              <a:rPr 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Sticky Factor Weekly</a:t>
            </a:r>
            <a:r>
              <a:rPr lang="ru-RU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 и</a:t>
            </a:r>
            <a:r>
              <a:rPr 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 Sticky Factor Monthly</a:t>
            </a:r>
            <a:r>
              <a:rPr lang="ru-RU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в июле 2022 - апреле 2023 г.</a:t>
            </a:r>
            <a:endParaRPr lang="en-US"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Overall!$K$1</c:f>
              <c:strCache>
                <c:ptCount val="1"/>
                <c:pt idx="0">
                  <c:v>SFW</c:v>
                </c:pt>
              </c:strCache>
            </c:strRef>
          </c:tx>
          <c:marker>
            <c:symbol val="none"/>
          </c:marker>
          <c:cat>
            <c:numRef>
              <c:f>Overall!$E$2:$E$304</c:f>
              <c:numCache>
                <c:formatCode>m/d/yyyy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Overall!$K$2:$K$304</c:f>
              <c:numCache>
                <c:formatCode>0.00%</c:formatCode>
                <c:ptCount val="303"/>
                <c:pt idx="0">
                  <c:v>0.5</c:v>
                </c:pt>
                <c:pt idx="1">
                  <c:v>1</c:v>
                </c:pt>
                <c:pt idx="2">
                  <c:v>8.4745762711864403E-2</c:v>
                </c:pt>
                <c:pt idx="3">
                  <c:v>0.16949152542372881</c:v>
                </c:pt>
                <c:pt idx="4">
                  <c:v>8.4745762711864403E-2</c:v>
                </c:pt>
                <c:pt idx="5">
                  <c:v>0.22033898305084745</c:v>
                </c:pt>
                <c:pt idx="6">
                  <c:v>0.3728813559322034</c:v>
                </c:pt>
                <c:pt idx="7">
                  <c:v>0.3728813559322034</c:v>
                </c:pt>
                <c:pt idx="8">
                  <c:v>0.44067796610169491</c:v>
                </c:pt>
                <c:pt idx="9">
                  <c:v>0.25</c:v>
                </c:pt>
                <c:pt idx="10">
                  <c:v>0.2608695652173913</c:v>
                </c:pt>
                <c:pt idx="11">
                  <c:v>0.32608695652173914</c:v>
                </c:pt>
                <c:pt idx="12">
                  <c:v>0.34782608695652173</c:v>
                </c:pt>
                <c:pt idx="13">
                  <c:v>0.27173913043478259</c:v>
                </c:pt>
                <c:pt idx="14">
                  <c:v>0.36956521739130432</c:v>
                </c:pt>
                <c:pt idx="15">
                  <c:v>0.42391304347826086</c:v>
                </c:pt>
                <c:pt idx="16">
                  <c:v>0.16541353383458646</c:v>
                </c:pt>
                <c:pt idx="17">
                  <c:v>0.2857142857142857</c:v>
                </c:pt>
                <c:pt idx="18">
                  <c:v>0.25563909774436089</c:v>
                </c:pt>
                <c:pt idx="19">
                  <c:v>0.37593984962406013</c:v>
                </c:pt>
                <c:pt idx="20">
                  <c:v>0.32330827067669171</c:v>
                </c:pt>
                <c:pt idx="21">
                  <c:v>0.32330827067669171</c:v>
                </c:pt>
                <c:pt idx="22">
                  <c:v>0.39849624060150374</c:v>
                </c:pt>
                <c:pt idx="23">
                  <c:v>0.34426229508196721</c:v>
                </c:pt>
                <c:pt idx="24">
                  <c:v>0.26229508196721313</c:v>
                </c:pt>
                <c:pt idx="25">
                  <c:v>0.32240437158469948</c:v>
                </c:pt>
                <c:pt idx="26">
                  <c:v>0.32240437158469948</c:v>
                </c:pt>
                <c:pt idx="27">
                  <c:v>0.33333333333333331</c:v>
                </c:pt>
                <c:pt idx="28">
                  <c:v>0.34972677595628415</c:v>
                </c:pt>
                <c:pt idx="29">
                  <c:v>0.34972677595628415</c:v>
                </c:pt>
                <c:pt idx="30">
                  <c:v>0.25742574257425743</c:v>
                </c:pt>
                <c:pt idx="31">
                  <c:v>0.30693069306930693</c:v>
                </c:pt>
                <c:pt idx="32">
                  <c:v>0.2722772277227723</c:v>
                </c:pt>
                <c:pt idx="33">
                  <c:v>0.29702970297029702</c:v>
                </c:pt>
                <c:pt idx="34">
                  <c:v>0.25742574257425743</c:v>
                </c:pt>
                <c:pt idx="35">
                  <c:v>0.30693069306930693</c:v>
                </c:pt>
                <c:pt idx="36">
                  <c:v>0.29207920792079206</c:v>
                </c:pt>
                <c:pt idx="37">
                  <c:v>0.30051813471502592</c:v>
                </c:pt>
                <c:pt idx="38">
                  <c:v>0.27461139896373055</c:v>
                </c:pt>
                <c:pt idx="39">
                  <c:v>0.28497409326424872</c:v>
                </c:pt>
                <c:pt idx="40">
                  <c:v>0.33678756476683935</c:v>
                </c:pt>
                <c:pt idx="41">
                  <c:v>0.27979274611398963</c:v>
                </c:pt>
                <c:pt idx="42">
                  <c:v>0.38341968911917096</c:v>
                </c:pt>
                <c:pt idx="43">
                  <c:v>0.30569948186528495</c:v>
                </c:pt>
                <c:pt idx="44">
                  <c:v>0.26865671641791045</c:v>
                </c:pt>
                <c:pt idx="45">
                  <c:v>0.3383084577114428</c:v>
                </c:pt>
                <c:pt idx="46">
                  <c:v>0.29353233830845771</c:v>
                </c:pt>
                <c:pt idx="47">
                  <c:v>0.30348258706467662</c:v>
                </c:pt>
                <c:pt idx="48">
                  <c:v>0.28855721393034828</c:v>
                </c:pt>
                <c:pt idx="49">
                  <c:v>0.33333333333333331</c:v>
                </c:pt>
                <c:pt idx="50">
                  <c:v>0.30845771144278605</c:v>
                </c:pt>
                <c:pt idx="51">
                  <c:v>0.25728155339805825</c:v>
                </c:pt>
                <c:pt idx="52">
                  <c:v>0.29126213592233008</c:v>
                </c:pt>
                <c:pt idx="53">
                  <c:v>0.32524271844660196</c:v>
                </c:pt>
                <c:pt idx="54">
                  <c:v>0.32524271844660196</c:v>
                </c:pt>
                <c:pt idx="55">
                  <c:v>0.29611650485436891</c:v>
                </c:pt>
                <c:pt idx="56">
                  <c:v>0.30582524271844658</c:v>
                </c:pt>
                <c:pt idx="57">
                  <c:v>0.29611650485436891</c:v>
                </c:pt>
                <c:pt idx="58">
                  <c:v>0.28125</c:v>
                </c:pt>
                <c:pt idx="59">
                  <c:v>0.375</c:v>
                </c:pt>
                <c:pt idx="60">
                  <c:v>0.28125</c:v>
                </c:pt>
                <c:pt idx="61">
                  <c:v>0.34375</c:v>
                </c:pt>
                <c:pt idx="62">
                  <c:v>0.31770833333333331</c:v>
                </c:pt>
                <c:pt idx="63">
                  <c:v>0.30208333333333331</c:v>
                </c:pt>
                <c:pt idx="64">
                  <c:v>0.33333333333333331</c:v>
                </c:pt>
                <c:pt idx="65">
                  <c:v>0.31632653061224492</c:v>
                </c:pt>
                <c:pt idx="66">
                  <c:v>0.23469387755102042</c:v>
                </c:pt>
                <c:pt idx="67">
                  <c:v>0.25</c:v>
                </c:pt>
                <c:pt idx="68">
                  <c:v>0.30102040816326531</c:v>
                </c:pt>
                <c:pt idx="69">
                  <c:v>0.30612244897959184</c:v>
                </c:pt>
                <c:pt idx="70">
                  <c:v>0.27040816326530615</c:v>
                </c:pt>
                <c:pt idx="71">
                  <c:v>0.31122448979591838</c:v>
                </c:pt>
                <c:pt idx="72">
                  <c:v>0.28292682926829266</c:v>
                </c:pt>
                <c:pt idx="73">
                  <c:v>0.31219512195121951</c:v>
                </c:pt>
                <c:pt idx="74">
                  <c:v>0.31707317073170732</c:v>
                </c:pt>
                <c:pt idx="75">
                  <c:v>0.36097560975609755</c:v>
                </c:pt>
                <c:pt idx="76">
                  <c:v>0.28292682926829266</c:v>
                </c:pt>
                <c:pt idx="77">
                  <c:v>0.30243902439024389</c:v>
                </c:pt>
                <c:pt idx="78">
                  <c:v>0.33658536585365856</c:v>
                </c:pt>
                <c:pt idx="79">
                  <c:v>0.30985915492957744</c:v>
                </c:pt>
                <c:pt idx="80">
                  <c:v>0.31455399061032863</c:v>
                </c:pt>
                <c:pt idx="81">
                  <c:v>0.33333333333333331</c:v>
                </c:pt>
                <c:pt idx="82">
                  <c:v>0.31455399061032863</c:v>
                </c:pt>
                <c:pt idx="83">
                  <c:v>0.25821596244131456</c:v>
                </c:pt>
                <c:pt idx="84">
                  <c:v>0.27230046948356806</c:v>
                </c:pt>
                <c:pt idx="85">
                  <c:v>0.34272300469483569</c:v>
                </c:pt>
                <c:pt idx="86">
                  <c:v>0.27884615384615385</c:v>
                </c:pt>
                <c:pt idx="87">
                  <c:v>0.36538461538461536</c:v>
                </c:pt>
                <c:pt idx="88">
                  <c:v>0.29807692307692307</c:v>
                </c:pt>
                <c:pt idx="89">
                  <c:v>0.31730769230769229</c:v>
                </c:pt>
                <c:pt idx="90">
                  <c:v>0.28365384615384615</c:v>
                </c:pt>
                <c:pt idx="91">
                  <c:v>0.29326923076923078</c:v>
                </c:pt>
                <c:pt idx="92">
                  <c:v>0.25</c:v>
                </c:pt>
                <c:pt idx="93">
                  <c:v>0.33333333333333331</c:v>
                </c:pt>
                <c:pt idx="94">
                  <c:v>0.33816425120772947</c:v>
                </c:pt>
                <c:pt idx="95">
                  <c:v>0.21739130434782608</c:v>
                </c:pt>
                <c:pt idx="96">
                  <c:v>0.3719806763285024</c:v>
                </c:pt>
                <c:pt idx="97">
                  <c:v>0.29468599033816423</c:v>
                </c:pt>
                <c:pt idx="98">
                  <c:v>0.27053140096618356</c:v>
                </c:pt>
                <c:pt idx="99">
                  <c:v>0.3188405797101449</c:v>
                </c:pt>
                <c:pt idx="100">
                  <c:v>0.25</c:v>
                </c:pt>
                <c:pt idx="101">
                  <c:v>0.28921568627450983</c:v>
                </c:pt>
                <c:pt idx="102">
                  <c:v>0.31862745098039214</c:v>
                </c:pt>
                <c:pt idx="103">
                  <c:v>0.25980392156862747</c:v>
                </c:pt>
                <c:pt idx="104">
                  <c:v>0.35294117647058826</c:v>
                </c:pt>
                <c:pt idx="105">
                  <c:v>0.30392156862745096</c:v>
                </c:pt>
                <c:pt idx="106">
                  <c:v>0.30392156862745096</c:v>
                </c:pt>
                <c:pt idx="107">
                  <c:v>0.34825870646766172</c:v>
                </c:pt>
                <c:pt idx="108">
                  <c:v>0.30845771144278605</c:v>
                </c:pt>
                <c:pt idx="109">
                  <c:v>0.4079601990049751</c:v>
                </c:pt>
                <c:pt idx="110">
                  <c:v>0.25870646766169153</c:v>
                </c:pt>
                <c:pt idx="111">
                  <c:v>0.32338308457711445</c:v>
                </c:pt>
                <c:pt idx="112">
                  <c:v>0.31840796019900497</c:v>
                </c:pt>
                <c:pt idx="113">
                  <c:v>0.28358208955223879</c:v>
                </c:pt>
                <c:pt idx="114">
                  <c:v>0.27230046948356806</c:v>
                </c:pt>
                <c:pt idx="115">
                  <c:v>0.30985915492957744</c:v>
                </c:pt>
                <c:pt idx="116">
                  <c:v>0.28169014084507044</c:v>
                </c:pt>
                <c:pt idx="117">
                  <c:v>0.25821596244131456</c:v>
                </c:pt>
                <c:pt idx="118">
                  <c:v>0.30516431924882631</c:v>
                </c:pt>
                <c:pt idx="119">
                  <c:v>0.25352112676056338</c:v>
                </c:pt>
                <c:pt idx="120">
                  <c:v>0.30985915492957744</c:v>
                </c:pt>
                <c:pt idx="121">
                  <c:v>0.3364485981308411</c:v>
                </c:pt>
                <c:pt idx="122">
                  <c:v>0.27102803738317754</c:v>
                </c:pt>
                <c:pt idx="123">
                  <c:v>0.2570093457943925</c:v>
                </c:pt>
                <c:pt idx="124">
                  <c:v>0.26168224299065418</c:v>
                </c:pt>
                <c:pt idx="125">
                  <c:v>0.29439252336448596</c:v>
                </c:pt>
                <c:pt idx="126">
                  <c:v>0.32242990654205606</c:v>
                </c:pt>
                <c:pt idx="127">
                  <c:v>0.28971962616822428</c:v>
                </c:pt>
                <c:pt idx="128">
                  <c:v>0.29556650246305421</c:v>
                </c:pt>
                <c:pt idx="129">
                  <c:v>0.29556650246305421</c:v>
                </c:pt>
                <c:pt idx="130">
                  <c:v>0.29556650246305421</c:v>
                </c:pt>
                <c:pt idx="131">
                  <c:v>0.27093596059113301</c:v>
                </c:pt>
                <c:pt idx="132">
                  <c:v>0.30541871921182268</c:v>
                </c:pt>
                <c:pt idx="133">
                  <c:v>0.26108374384236455</c:v>
                </c:pt>
                <c:pt idx="134">
                  <c:v>0.26600985221674878</c:v>
                </c:pt>
                <c:pt idx="135">
                  <c:v>0.22772277227722773</c:v>
                </c:pt>
                <c:pt idx="136">
                  <c:v>0.2722772277227723</c:v>
                </c:pt>
                <c:pt idx="137">
                  <c:v>0.25247524752475248</c:v>
                </c:pt>
                <c:pt idx="138">
                  <c:v>0.28712871287128711</c:v>
                </c:pt>
                <c:pt idx="139">
                  <c:v>0.25247524752475248</c:v>
                </c:pt>
                <c:pt idx="140">
                  <c:v>0.19801980198019803</c:v>
                </c:pt>
                <c:pt idx="141">
                  <c:v>0.24752475247524752</c:v>
                </c:pt>
                <c:pt idx="142">
                  <c:v>0.20359281437125748</c:v>
                </c:pt>
                <c:pt idx="143">
                  <c:v>0.24550898203592814</c:v>
                </c:pt>
                <c:pt idx="144">
                  <c:v>0.23353293413173654</c:v>
                </c:pt>
                <c:pt idx="145">
                  <c:v>0.19161676646706588</c:v>
                </c:pt>
                <c:pt idx="146">
                  <c:v>0.19161676646706588</c:v>
                </c:pt>
                <c:pt idx="147">
                  <c:v>0.18562874251497005</c:v>
                </c:pt>
                <c:pt idx="148">
                  <c:v>0.20958083832335328</c:v>
                </c:pt>
                <c:pt idx="149">
                  <c:v>0.20382165605095542</c:v>
                </c:pt>
                <c:pt idx="150">
                  <c:v>0.1464968152866242</c:v>
                </c:pt>
                <c:pt idx="151">
                  <c:v>0.22292993630573249</c:v>
                </c:pt>
                <c:pt idx="152">
                  <c:v>0.20382165605095542</c:v>
                </c:pt>
                <c:pt idx="153">
                  <c:v>0.15923566878980891</c:v>
                </c:pt>
                <c:pt idx="154">
                  <c:v>0.12101910828025478</c:v>
                </c:pt>
                <c:pt idx="155">
                  <c:v>0.19108280254777071</c:v>
                </c:pt>
                <c:pt idx="156">
                  <c:v>0.14743589743589744</c:v>
                </c:pt>
                <c:pt idx="157">
                  <c:v>0.20512820512820512</c:v>
                </c:pt>
                <c:pt idx="158">
                  <c:v>0.22435897435897437</c:v>
                </c:pt>
                <c:pt idx="159">
                  <c:v>0.1858974358974359</c:v>
                </c:pt>
                <c:pt idx="160">
                  <c:v>0.23076923076923078</c:v>
                </c:pt>
                <c:pt idx="161">
                  <c:v>0.19230769230769232</c:v>
                </c:pt>
                <c:pt idx="162">
                  <c:v>0.16025641025641027</c:v>
                </c:pt>
                <c:pt idx="163">
                  <c:v>0.20261437908496732</c:v>
                </c:pt>
                <c:pt idx="164">
                  <c:v>0.22222222222222221</c:v>
                </c:pt>
                <c:pt idx="165">
                  <c:v>0.1437908496732026</c:v>
                </c:pt>
                <c:pt idx="166">
                  <c:v>0.16993464052287582</c:v>
                </c:pt>
                <c:pt idx="167">
                  <c:v>0.17647058823529413</c:v>
                </c:pt>
                <c:pt idx="168">
                  <c:v>0.18300653594771241</c:v>
                </c:pt>
                <c:pt idx="169">
                  <c:v>0.13071895424836602</c:v>
                </c:pt>
                <c:pt idx="170">
                  <c:v>0.22068965517241379</c:v>
                </c:pt>
                <c:pt idx="171">
                  <c:v>0.19310344827586207</c:v>
                </c:pt>
                <c:pt idx="172">
                  <c:v>0.19310344827586207</c:v>
                </c:pt>
                <c:pt idx="173">
                  <c:v>0.2</c:v>
                </c:pt>
                <c:pt idx="174">
                  <c:v>0.24827586206896551</c:v>
                </c:pt>
                <c:pt idx="175">
                  <c:v>0.16551724137931034</c:v>
                </c:pt>
                <c:pt idx="176">
                  <c:v>0.22758620689655173</c:v>
                </c:pt>
                <c:pt idx="177">
                  <c:v>0.18439716312056736</c:v>
                </c:pt>
                <c:pt idx="178">
                  <c:v>0.1702127659574468</c:v>
                </c:pt>
                <c:pt idx="179">
                  <c:v>0.22695035460992907</c:v>
                </c:pt>
                <c:pt idx="180">
                  <c:v>0.20567375886524822</c:v>
                </c:pt>
                <c:pt idx="181">
                  <c:v>0.15602836879432624</c:v>
                </c:pt>
                <c:pt idx="182">
                  <c:v>0.26241134751773049</c:v>
                </c:pt>
                <c:pt idx="183">
                  <c:v>0.1702127659574468</c:v>
                </c:pt>
                <c:pt idx="184">
                  <c:v>0.18421052631578946</c:v>
                </c:pt>
                <c:pt idx="185">
                  <c:v>0.21052631578947367</c:v>
                </c:pt>
                <c:pt idx="186">
                  <c:v>0.24210526315789474</c:v>
                </c:pt>
                <c:pt idx="187">
                  <c:v>0.18947368421052632</c:v>
                </c:pt>
                <c:pt idx="188">
                  <c:v>0.24210526315789474</c:v>
                </c:pt>
                <c:pt idx="189">
                  <c:v>0.18421052631578946</c:v>
                </c:pt>
                <c:pt idx="190">
                  <c:v>0.27894736842105261</c:v>
                </c:pt>
                <c:pt idx="191">
                  <c:v>0.22746781115879827</c:v>
                </c:pt>
                <c:pt idx="192">
                  <c:v>0.22317596566523606</c:v>
                </c:pt>
                <c:pt idx="193">
                  <c:v>0.27896995708154504</c:v>
                </c:pt>
                <c:pt idx="194">
                  <c:v>0.22317596566523606</c:v>
                </c:pt>
                <c:pt idx="195">
                  <c:v>0.26609442060085836</c:v>
                </c:pt>
                <c:pt idx="196">
                  <c:v>0.33047210300429186</c:v>
                </c:pt>
                <c:pt idx="197">
                  <c:v>0.26180257510729615</c:v>
                </c:pt>
                <c:pt idx="198">
                  <c:v>0.25735294117647056</c:v>
                </c:pt>
                <c:pt idx="199">
                  <c:v>0.24264705882352941</c:v>
                </c:pt>
                <c:pt idx="200">
                  <c:v>0.26838235294117646</c:v>
                </c:pt>
                <c:pt idx="201">
                  <c:v>0.26838235294117646</c:v>
                </c:pt>
                <c:pt idx="202">
                  <c:v>0.29411764705882354</c:v>
                </c:pt>
                <c:pt idx="203">
                  <c:v>0.27573529411764708</c:v>
                </c:pt>
                <c:pt idx="204">
                  <c:v>0.33088235294117646</c:v>
                </c:pt>
                <c:pt idx="205">
                  <c:v>0.26440677966101694</c:v>
                </c:pt>
                <c:pt idx="206">
                  <c:v>0.30508474576271188</c:v>
                </c:pt>
                <c:pt idx="207">
                  <c:v>0.29830508474576273</c:v>
                </c:pt>
                <c:pt idx="208">
                  <c:v>0.28135593220338984</c:v>
                </c:pt>
                <c:pt idx="209">
                  <c:v>0.31186440677966104</c:v>
                </c:pt>
                <c:pt idx="210">
                  <c:v>0.33559322033898303</c:v>
                </c:pt>
                <c:pt idx="211">
                  <c:v>0.31525423728813562</c:v>
                </c:pt>
                <c:pt idx="212">
                  <c:v>0.33236994219653176</c:v>
                </c:pt>
                <c:pt idx="213">
                  <c:v>0.31213872832369943</c:v>
                </c:pt>
                <c:pt idx="214">
                  <c:v>0.32369942196531792</c:v>
                </c:pt>
                <c:pt idx="215">
                  <c:v>0.24855491329479767</c:v>
                </c:pt>
                <c:pt idx="216">
                  <c:v>0.2832369942196532</c:v>
                </c:pt>
                <c:pt idx="217">
                  <c:v>0.28901734104046245</c:v>
                </c:pt>
                <c:pt idx="218">
                  <c:v>0.27456647398843931</c:v>
                </c:pt>
                <c:pt idx="219">
                  <c:v>0.28823529411764703</c:v>
                </c:pt>
                <c:pt idx="220">
                  <c:v>0.26470588235294118</c:v>
                </c:pt>
                <c:pt idx="221">
                  <c:v>0.31470588235294117</c:v>
                </c:pt>
                <c:pt idx="222">
                  <c:v>0.29705882352941176</c:v>
                </c:pt>
                <c:pt idx="223">
                  <c:v>0.30588235294117649</c:v>
                </c:pt>
                <c:pt idx="224">
                  <c:v>0.28823529411764703</c:v>
                </c:pt>
                <c:pt idx="225">
                  <c:v>0.29705882352941176</c:v>
                </c:pt>
                <c:pt idx="226">
                  <c:v>0.27089337175792505</c:v>
                </c:pt>
                <c:pt idx="227">
                  <c:v>0.31123919308357351</c:v>
                </c:pt>
                <c:pt idx="228">
                  <c:v>0.29682997118155618</c:v>
                </c:pt>
                <c:pt idx="229">
                  <c:v>0.2737752161383285</c:v>
                </c:pt>
                <c:pt idx="230">
                  <c:v>0.30835734870317005</c:v>
                </c:pt>
                <c:pt idx="231">
                  <c:v>0.33429394812680113</c:v>
                </c:pt>
                <c:pt idx="232">
                  <c:v>0.31412103746397696</c:v>
                </c:pt>
                <c:pt idx="233">
                  <c:v>0.21875</c:v>
                </c:pt>
                <c:pt idx="234">
                  <c:v>0.25520833333333331</c:v>
                </c:pt>
                <c:pt idx="235">
                  <c:v>0.29947916666666669</c:v>
                </c:pt>
                <c:pt idx="236">
                  <c:v>0.24739583333333334</c:v>
                </c:pt>
                <c:pt idx="237">
                  <c:v>0.27604166666666669</c:v>
                </c:pt>
                <c:pt idx="238">
                  <c:v>0.30729166666666669</c:v>
                </c:pt>
                <c:pt idx="239">
                  <c:v>0.33072916666666669</c:v>
                </c:pt>
                <c:pt idx="240">
                  <c:v>0.1702127659574468</c:v>
                </c:pt>
                <c:pt idx="241">
                  <c:v>0.2144026186579378</c:v>
                </c:pt>
                <c:pt idx="242">
                  <c:v>0.21276595744680851</c:v>
                </c:pt>
                <c:pt idx="243">
                  <c:v>0.22585924713584288</c:v>
                </c:pt>
                <c:pt idx="244">
                  <c:v>0.27332242225859249</c:v>
                </c:pt>
                <c:pt idx="245">
                  <c:v>0.27823240589198034</c:v>
                </c:pt>
                <c:pt idx="246">
                  <c:v>0.27004909983633391</c:v>
                </c:pt>
                <c:pt idx="247">
                  <c:v>0.20926966292134833</c:v>
                </c:pt>
                <c:pt idx="248">
                  <c:v>0.21207865168539325</c:v>
                </c:pt>
                <c:pt idx="249">
                  <c:v>0.24297752808988765</c:v>
                </c:pt>
                <c:pt idx="250">
                  <c:v>0.21067415730337077</c:v>
                </c:pt>
                <c:pt idx="251">
                  <c:v>0.22752808988764045</c:v>
                </c:pt>
                <c:pt idx="252">
                  <c:v>0.24578651685393257</c:v>
                </c:pt>
                <c:pt idx="253">
                  <c:v>0.24719101123595505</c:v>
                </c:pt>
                <c:pt idx="254">
                  <c:v>0.23316062176165803</c:v>
                </c:pt>
                <c:pt idx="255">
                  <c:v>0.21761658031088082</c:v>
                </c:pt>
                <c:pt idx="256">
                  <c:v>0.23963730569948186</c:v>
                </c:pt>
                <c:pt idx="257">
                  <c:v>0.2344559585492228</c:v>
                </c:pt>
                <c:pt idx="258">
                  <c:v>0.22279792746113988</c:v>
                </c:pt>
                <c:pt idx="259">
                  <c:v>0.2422279792746114</c:v>
                </c:pt>
                <c:pt idx="260">
                  <c:v>0.28238341968911918</c:v>
                </c:pt>
                <c:pt idx="261">
                  <c:v>0.28048780487804881</c:v>
                </c:pt>
                <c:pt idx="262">
                  <c:v>0.29573170731707316</c:v>
                </c:pt>
                <c:pt idx="263">
                  <c:v>0.19969512195121952</c:v>
                </c:pt>
                <c:pt idx="264">
                  <c:v>0.26829268292682928</c:v>
                </c:pt>
                <c:pt idx="265">
                  <c:v>0.2073170731707317</c:v>
                </c:pt>
                <c:pt idx="266">
                  <c:v>0.23323170731707318</c:v>
                </c:pt>
                <c:pt idx="267">
                  <c:v>0.2423780487804878</c:v>
                </c:pt>
                <c:pt idx="268">
                  <c:v>0.21633888048411498</c:v>
                </c:pt>
                <c:pt idx="269">
                  <c:v>0.23600605143721634</c:v>
                </c:pt>
                <c:pt idx="270">
                  <c:v>0.22844175491679275</c:v>
                </c:pt>
                <c:pt idx="271">
                  <c:v>0.22390317700453857</c:v>
                </c:pt>
                <c:pt idx="272">
                  <c:v>0.2783661119515885</c:v>
                </c:pt>
                <c:pt idx="273">
                  <c:v>0.30862329803328292</c:v>
                </c:pt>
                <c:pt idx="274">
                  <c:v>0.32526475037821484</c:v>
                </c:pt>
                <c:pt idx="275">
                  <c:v>0.2832618025751073</c:v>
                </c:pt>
                <c:pt idx="276">
                  <c:v>0.28469241773962806</c:v>
                </c:pt>
                <c:pt idx="277">
                  <c:v>0.26895565092989987</c:v>
                </c:pt>
                <c:pt idx="278">
                  <c:v>0.28183118741058655</c:v>
                </c:pt>
                <c:pt idx="279">
                  <c:v>0.27467811158798283</c:v>
                </c:pt>
                <c:pt idx="280">
                  <c:v>0.28612303290414881</c:v>
                </c:pt>
                <c:pt idx="281">
                  <c:v>0.27467811158798283</c:v>
                </c:pt>
                <c:pt idx="282">
                  <c:v>0.28013029315960913</c:v>
                </c:pt>
                <c:pt idx="283">
                  <c:v>0.26058631921824105</c:v>
                </c:pt>
                <c:pt idx="284">
                  <c:v>0.2736156351791531</c:v>
                </c:pt>
                <c:pt idx="285">
                  <c:v>0.27850162866449513</c:v>
                </c:pt>
                <c:pt idx="286">
                  <c:v>0.250814332247557</c:v>
                </c:pt>
                <c:pt idx="287">
                  <c:v>0.23778501628664495</c:v>
                </c:pt>
                <c:pt idx="288">
                  <c:v>0.27035830618892509</c:v>
                </c:pt>
                <c:pt idx="289">
                  <c:v>0.24587155963302754</c:v>
                </c:pt>
                <c:pt idx="290">
                  <c:v>0.27339449541284405</c:v>
                </c:pt>
                <c:pt idx="291">
                  <c:v>0.24220183486238533</c:v>
                </c:pt>
                <c:pt idx="292">
                  <c:v>0.24036697247706423</c:v>
                </c:pt>
                <c:pt idx="293">
                  <c:v>0.19082568807339451</c:v>
                </c:pt>
                <c:pt idx="294">
                  <c:v>0.19266055045871561</c:v>
                </c:pt>
                <c:pt idx="295">
                  <c:v>0.19266055045871561</c:v>
                </c:pt>
                <c:pt idx="296">
                  <c:v>0.2132701421800948</c:v>
                </c:pt>
                <c:pt idx="297">
                  <c:v>0.23933649289099526</c:v>
                </c:pt>
                <c:pt idx="298">
                  <c:v>0.21800947867298578</c:v>
                </c:pt>
                <c:pt idx="299">
                  <c:v>0.16113744075829384</c:v>
                </c:pt>
                <c:pt idx="300">
                  <c:v>0.17772511848341233</c:v>
                </c:pt>
                <c:pt idx="301">
                  <c:v>0.17298578199052134</c:v>
                </c:pt>
                <c:pt idx="302">
                  <c:v>0.16824644549763032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52F-4F78-B6BC-D12500737029}"/>
            </c:ext>
          </c:extLst>
        </c:ser>
        <c:ser>
          <c:idx val="0"/>
          <c:order val="1"/>
          <c:tx>
            <c:strRef>
              <c:f>Overall!$K$1</c:f>
              <c:strCache>
                <c:ptCount val="1"/>
                <c:pt idx="0">
                  <c:v>SFW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Overall!$E$2:$E$304</c:f>
              <c:numCache>
                <c:formatCode>m/d/yyyy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Overall!$K$2:$K$304</c:f>
              <c:numCache>
                <c:formatCode>0.00%</c:formatCode>
                <c:ptCount val="303"/>
                <c:pt idx="0">
                  <c:v>0.5</c:v>
                </c:pt>
                <c:pt idx="1">
                  <c:v>1</c:v>
                </c:pt>
                <c:pt idx="2">
                  <c:v>8.4745762711864403E-2</c:v>
                </c:pt>
                <c:pt idx="3">
                  <c:v>0.16949152542372881</c:v>
                </c:pt>
                <c:pt idx="4">
                  <c:v>8.4745762711864403E-2</c:v>
                </c:pt>
                <c:pt idx="5">
                  <c:v>0.22033898305084745</c:v>
                </c:pt>
                <c:pt idx="6">
                  <c:v>0.3728813559322034</c:v>
                </c:pt>
                <c:pt idx="7">
                  <c:v>0.3728813559322034</c:v>
                </c:pt>
                <c:pt idx="8">
                  <c:v>0.44067796610169491</c:v>
                </c:pt>
                <c:pt idx="9">
                  <c:v>0.25</c:v>
                </c:pt>
                <c:pt idx="10">
                  <c:v>0.2608695652173913</c:v>
                </c:pt>
                <c:pt idx="11">
                  <c:v>0.32608695652173914</c:v>
                </c:pt>
                <c:pt idx="12">
                  <c:v>0.34782608695652173</c:v>
                </c:pt>
                <c:pt idx="13">
                  <c:v>0.27173913043478259</c:v>
                </c:pt>
                <c:pt idx="14">
                  <c:v>0.36956521739130432</c:v>
                </c:pt>
                <c:pt idx="15">
                  <c:v>0.42391304347826086</c:v>
                </c:pt>
                <c:pt idx="16">
                  <c:v>0.16541353383458646</c:v>
                </c:pt>
                <c:pt idx="17">
                  <c:v>0.2857142857142857</c:v>
                </c:pt>
                <c:pt idx="18">
                  <c:v>0.25563909774436089</c:v>
                </c:pt>
                <c:pt idx="19">
                  <c:v>0.37593984962406013</c:v>
                </c:pt>
                <c:pt idx="20">
                  <c:v>0.32330827067669171</c:v>
                </c:pt>
                <c:pt idx="21">
                  <c:v>0.32330827067669171</c:v>
                </c:pt>
                <c:pt idx="22">
                  <c:v>0.39849624060150374</c:v>
                </c:pt>
                <c:pt idx="23">
                  <c:v>0.34426229508196721</c:v>
                </c:pt>
                <c:pt idx="24">
                  <c:v>0.26229508196721313</c:v>
                </c:pt>
                <c:pt idx="25">
                  <c:v>0.32240437158469948</c:v>
                </c:pt>
                <c:pt idx="26">
                  <c:v>0.32240437158469948</c:v>
                </c:pt>
                <c:pt idx="27">
                  <c:v>0.33333333333333331</c:v>
                </c:pt>
                <c:pt idx="28">
                  <c:v>0.34972677595628415</c:v>
                </c:pt>
                <c:pt idx="29">
                  <c:v>0.34972677595628415</c:v>
                </c:pt>
                <c:pt idx="30">
                  <c:v>0.25742574257425743</c:v>
                </c:pt>
                <c:pt idx="31">
                  <c:v>0.30693069306930693</c:v>
                </c:pt>
                <c:pt idx="32">
                  <c:v>0.2722772277227723</c:v>
                </c:pt>
                <c:pt idx="33">
                  <c:v>0.29702970297029702</c:v>
                </c:pt>
                <c:pt idx="34">
                  <c:v>0.25742574257425743</c:v>
                </c:pt>
                <c:pt idx="35">
                  <c:v>0.30693069306930693</c:v>
                </c:pt>
                <c:pt idx="36">
                  <c:v>0.29207920792079206</c:v>
                </c:pt>
                <c:pt idx="37">
                  <c:v>0.30051813471502592</c:v>
                </c:pt>
                <c:pt idx="38">
                  <c:v>0.27461139896373055</c:v>
                </c:pt>
                <c:pt idx="39">
                  <c:v>0.28497409326424872</c:v>
                </c:pt>
                <c:pt idx="40">
                  <c:v>0.33678756476683935</c:v>
                </c:pt>
                <c:pt idx="41">
                  <c:v>0.27979274611398963</c:v>
                </c:pt>
                <c:pt idx="42">
                  <c:v>0.38341968911917096</c:v>
                </c:pt>
                <c:pt idx="43">
                  <c:v>0.30569948186528495</c:v>
                </c:pt>
                <c:pt idx="44">
                  <c:v>0.26865671641791045</c:v>
                </c:pt>
                <c:pt idx="45">
                  <c:v>0.3383084577114428</c:v>
                </c:pt>
                <c:pt idx="46">
                  <c:v>0.29353233830845771</c:v>
                </c:pt>
                <c:pt idx="47">
                  <c:v>0.30348258706467662</c:v>
                </c:pt>
                <c:pt idx="48">
                  <c:v>0.28855721393034828</c:v>
                </c:pt>
                <c:pt idx="49">
                  <c:v>0.33333333333333331</c:v>
                </c:pt>
                <c:pt idx="50">
                  <c:v>0.30845771144278605</c:v>
                </c:pt>
                <c:pt idx="51">
                  <c:v>0.25728155339805825</c:v>
                </c:pt>
                <c:pt idx="52">
                  <c:v>0.29126213592233008</c:v>
                </c:pt>
                <c:pt idx="53">
                  <c:v>0.32524271844660196</c:v>
                </c:pt>
                <c:pt idx="54">
                  <c:v>0.32524271844660196</c:v>
                </c:pt>
                <c:pt idx="55">
                  <c:v>0.29611650485436891</c:v>
                </c:pt>
                <c:pt idx="56">
                  <c:v>0.30582524271844658</c:v>
                </c:pt>
                <c:pt idx="57">
                  <c:v>0.29611650485436891</c:v>
                </c:pt>
                <c:pt idx="58">
                  <c:v>0.28125</c:v>
                </c:pt>
                <c:pt idx="59">
                  <c:v>0.375</c:v>
                </c:pt>
                <c:pt idx="60">
                  <c:v>0.28125</c:v>
                </c:pt>
                <c:pt idx="61">
                  <c:v>0.34375</c:v>
                </c:pt>
                <c:pt idx="62">
                  <c:v>0.31770833333333331</c:v>
                </c:pt>
                <c:pt idx="63">
                  <c:v>0.30208333333333331</c:v>
                </c:pt>
                <c:pt idx="64">
                  <c:v>0.33333333333333331</c:v>
                </c:pt>
                <c:pt idx="65">
                  <c:v>0.31632653061224492</c:v>
                </c:pt>
                <c:pt idx="66">
                  <c:v>0.23469387755102042</c:v>
                </c:pt>
                <c:pt idx="67">
                  <c:v>0.25</c:v>
                </c:pt>
                <c:pt idx="68">
                  <c:v>0.30102040816326531</c:v>
                </c:pt>
                <c:pt idx="69">
                  <c:v>0.30612244897959184</c:v>
                </c:pt>
                <c:pt idx="70">
                  <c:v>0.27040816326530615</c:v>
                </c:pt>
                <c:pt idx="71">
                  <c:v>0.31122448979591838</c:v>
                </c:pt>
                <c:pt idx="72">
                  <c:v>0.28292682926829266</c:v>
                </c:pt>
                <c:pt idx="73">
                  <c:v>0.31219512195121951</c:v>
                </c:pt>
                <c:pt idx="74">
                  <c:v>0.31707317073170732</c:v>
                </c:pt>
                <c:pt idx="75">
                  <c:v>0.36097560975609755</c:v>
                </c:pt>
                <c:pt idx="76">
                  <c:v>0.28292682926829266</c:v>
                </c:pt>
                <c:pt idx="77">
                  <c:v>0.30243902439024389</c:v>
                </c:pt>
                <c:pt idx="78">
                  <c:v>0.33658536585365856</c:v>
                </c:pt>
                <c:pt idx="79">
                  <c:v>0.30985915492957744</c:v>
                </c:pt>
                <c:pt idx="80">
                  <c:v>0.31455399061032863</c:v>
                </c:pt>
                <c:pt idx="81">
                  <c:v>0.33333333333333331</c:v>
                </c:pt>
                <c:pt idx="82">
                  <c:v>0.31455399061032863</c:v>
                </c:pt>
                <c:pt idx="83">
                  <c:v>0.25821596244131456</c:v>
                </c:pt>
                <c:pt idx="84">
                  <c:v>0.27230046948356806</c:v>
                </c:pt>
                <c:pt idx="85">
                  <c:v>0.34272300469483569</c:v>
                </c:pt>
                <c:pt idx="86">
                  <c:v>0.27884615384615385</c:v>
                </c:pt>
                <c:pt idx="87">
                  <c:v>0.36538461538461536</c:v>
                </c:pt>
                <c:pt idx="88">
                  <c:v>0.29807692307692307</c:v>
                </c:pt>
                <c:pt idx="89">
                  <c:v>0.31730769230769229</c:v>
                </c:pt>
                <c:pt idx="90">
                  <c:v>0.28365384615384615</c:v>
                </c:pt>
                <c:pt idx="91">
                  <c:v>0.29326923076923078</c:v>
                </c:pt>
                <c:pt idx="92">
                  <c:v>0.25</c:v>
                </c:pt>
                <c:pt idx="93">
                  <c:v>0.33333333333333331</c:v>
                </c:pt>
                <c:pt idx="94">
                  <c:v>0.33816425120772947</c:v>
                </c:pt>
                <c:pt idx="95">
                  <c:v>0.21739130434782608</c:v>
                </c:pt>
                <c:pt idx="96">
                  <c:v>0.3719806763285024</c:v>
                </c:pt>
                <c:pt idx="97">
                  <c:v>0.29468599033816423</c:v>
                </c:pt>
                <c:pt idx="98">
                  <c:v>0.27053140096618356</c:v>
                </c:pt>
                <c:pt idx="99">
                  <c:v>0.3188405797101449</c:v>
                </c:pt>
                <c:pt idx="100">
                  <c:v>0.25</c:v>
                </c:pt>
                <c:pt idx="101">
                  <c:v>0.28921568627450983</c:v>
                </c:pt>
                <c:pt idx="102">
                  <c:v>0.31862745098039214</c:v>
                </c:pt>
                <c:pt idx="103">
                  <c:v>0.25980392156862747</c:v>
                </c:pt>
                <c:pt idx="104">
                  <c:v>0.35294117647058826</c:v>
                </c:pt>
                <c:pt idx="105">
                  <c:v>0.30392156862745096</c:v>
                </c:pt>
                <c:pt idx="106">
                  <c:v>0.30392156862745096</c:v>
                </c:pt>
                <c:pt idx="107">
                  <c:v>0.34825870646766172</c:v>
                </c:pt>
                <c:pt idx="108">
                  <c:v>0.30845771144278605</c:v>
                </c:pt>
                <c:pt idx="109">
                  <c:v>0.4079601990049751</c:v>
                </c:pt>
                <c:pt idx="110">
                  <c:v>0.25870646766169153</c:v>
                </c:pt>
                <c:pt idx="111">
                  <c:v>0.32338308457711445</c:v>
                </c:pt>
                <c:pt idx="112">
                  <c:v>0.31840796019900497</c:v>
                </c:pt>
                <c:pt idx="113">
                  <c:v>0.28358208955223879</c:v>
                </c:pt>
                <c:pt idx="114">
                  <c:v>0.27230046948356806</c:v>
                </c:pt>
                <c:pt idx="115">
                  <c:v>0.30985915492957744</c:v>
                </c:pt>
                <c:pt idx="116">
                  <c:v>0.28169014084507044</c:v>
                </c:pt>
                <c:pt idx="117">
                  <c:v>0.25821596244131456</c:v>
                </c:pt>
                <c:pt idx="118">
                  <c:v>0.30516431924882631</c:v>
                </c:pt>
                <c:pt idx="119">
                  <c:v>0.25352112676056338</c:v>
                </c:pt>
                <c:pt idx="120">
                  <c:v>0.30985915492957744</c:v>
                </c:pt>
                <c:pt idx="121">
                  <c:v>0.3364485981308411</c:v>
                </c:pt>
                <c:pt idx="122">
                  <c:v>0.27102803738317754</c:v>
                </c:pt>
                <c:pt idx="123">
                  <c:v>0.2570093457943925</c:v>
                </c:pt>
                <c:pt idx="124">
                  <c:v>0.26168224299065418</c:v>
                </c:pt>
                <c:pt idx="125">
                  <c:v>0.29439252336448596</c:v>
                </c:pt>
                <c:pt idx="126">
                  <c:v>0.32242990654205606</c:v>
                </c:pt>
                <c:pt idx="127">
                  <c:v>0.28971962616822428</c:v>
                </c:pt>
                <c:pt idx="128">
                  <c:v>0.29556650246305421</c:v>
                </c:pt>
                <c:pt idx="129">
                  <c:v>0.29556650246305421</c:v>
                </c:pt>
                <c:pt idx="130">
                  <c:v>0.29556650246305421</c:v>
                </c:pt>
                <c:pt idx="131">
                  <c:v>0.27093596059113301</c:v>
                </c:pt>
                <c:pt idx="132">
                  <c:v>0.30541871921182268</c:v>
                </c:pt>
                <c:pt idx="133">
                  <c:v>0.26108374384236455</c:v>
                </c:pt>
                <c:pt idx="134">
                  <c:v>0.26600985221674878</c:v>
                </c:pt>
                <c:pt idx="135">
                  <c:v>0.22772277227722773</c:v>
                </c:pt>
                <c:pt idx="136">
                  <c:v>0.2722772277227723</c:v>
                </c:pt>
                <c:pt idx="137">
                  <c:v>0.25247524752475248</c:v>
                </c:pt>
                <c:pt idx="138">
                  <c:v>0.28712871287128711</c:v>
                </c:pt>
                <c:pt idx="139">
                  <c:v>0.25247524752475248</c:v>
                </c:pt>
                <c:pt idx="140">
                  <c:v>0.19801980198019803</c:v>
                </c:pt>
                <c:pt idx="141">
                  <c:v>0.24752475247524752</c:v>
                </c:pt>
                <c:pt idx="142">
                  <c:v>0.20359281437125748</c:v>
                </c:pt>
                <c:pt idx="143">
                  <c:v>0.24550898203592814</c:v>
                </c:pt>
                <c:pt idx="144">
                  <c:v>0.23353293413173654</c:v>
                </c:pt>
                <c:pt idx="145">
                  <c:v>0.19161676646706588</c:v>
                </c:pt>
                <c:pt idx="146">
                  <c:v>0.19161676646706588</c:v>
                </c:pt>
                <c:pt idx="147">
                  <c:v>0.18562874251497005</c:v>
                </c:pt>
                <c:pt idx="148">
                  <c:v>0.20958083832335328</c:v>
                </c:pt>
                <c:pt idx="149">
                  <c:v>0.20382165605095542</c:v>
                </c:pt>
                <c:pt idx="150">
                  <c:v>0.1464968152866242</c:v>
                </c:pt>
                <c:pt idx="151">
                  <c:v>0.22292993630573249</c:v>
                </c:pt>
                <c:pt idx="152">
                  <c:v>0.20382165605095542</c:v>
                </c:pt>
                <c:pt idx="153">
                  <c:v>0.15923566878980891</c:v>
                </c:pt>
                <c:pt idx="154">
                  <c:v>0.12101910828025478</c:v>
                </c:pt>
                <c:pt idx="155">
                  <c:v>0.19108280254777071</c:v>
                </c:pt>
                <c:pt idx="156">
                  <c:v>0.14743589743589744</c:v>
                </c:pt>
                <c:pt idx="157">
                  <c:v>0.20512820512820512</c:v>
                </c:pt>
                <c:pt idx="158">
                  <c:v>0.22435897435897437</c:v>
                </c:pt>
                <c:pt idx="159">
                  <c:v>0.1858974358974359</c:v>
                </c:pt>
                <c:pt idx="160">
                  <c:v>0.23076923076923078</c:v>
                </c:pt>
                <c:pt idx="161">
                  <c:v>0.19230769230769232</c:v>
                </c:pt>
                <c:pt idx="162">
                  <c:v>0.16025641025641027</c:v>
                </c:pt>
                <c:pt idx="163">
                  <c:v>0.20261437908496732</c:v>
                </c:pt>
                <c:pt idx="164">
                  <c:v>0.22222222222222221</c:v>
                </c:pt>
                <c:pt idx="165">
                  <c:v>0.1437908496732026</c:v>
                </c:pt>
                <c:pt idx="166">
                  <c:v>0.16993464052287582</c:v>
                </c:pt>
                <c:pt idx="167">
                  <c:v>0.17647058823529413</c:v>
                </c:pt>
                <c:pt idx="168">
                  <c:v>0.18300653594771241</c:v>
                </c:pt>
                <c:pt idx="169">
                  <c:v>0.13071895424836602</c:v>
                </c:pt>
                <c:pt idx="170">
                  <c:v>0.22068965517241379</c:v>
                </c:pt>
                <c:pt idx="171">
                  <c:v>0.19310344827586207</c:v>
                </c:pt>
                <c:pt idx="172">
                  <c:v>0.19310344827586207</c:v>
                </c:pt>
                <c:pt idx="173">
                  <c:v>0.2</c:v>
                </c:pt>
                <c:pt idx="174">
                  <c:v>0.24827586206896551</c:v>
                </c:pt>
                <c:pt idx="175">
                  <c:v>0.16551724137931034</c:v>
                </c:pt>
                <c:pt idx="176">
                  <c:v>0.22758620689655173</c:v>
                </c:pt>
                <c:pt idx="177">
                  <c:v>0.18439716312056736</c:v>
                </c:pt>
                <c:pt idx="178">
                  <c:v>0.1702127659574468</c:v>
                </c:pt>
                <c:pt idx="179">
                  <c:v>0.22695035460992907</c:v>
                </c:pt>
                <c:pt idx="180">
                  <c:v>0.20567375886524822</c:v>
                </c:pt>
                <c:pt idx="181">
                  <c:v>0.15602836879432624</c:v>
                </c:pt>
                <c:pt idx="182">
                  <c:v>0.26241134751773049</c:v>
                </c:pt>
                <c:pt idx="183">
                  <c:v>0.1702127659574468</c:v>
                </c:pt>
                <c:pt idx="184">
                  <c:v>0.18421052631578946</c:v>
                </c:pt>
                <c:pt idx="185">
                  <c:v>0.21052631578947367</c:v>
                </c:pt>
                <c:pt idx="186">
                  <c:v>0.24210526315789474</c:v>
                </c:pt>
                <c:pt idx="187">
                  <c:v>0.18947368421052632</c:v>
                </c:pt>
                <c:pt idx="188">
                  <c:v>0.24210526315789474</c:v>
                </c:pt>
                <c:pt idx="189">
                  <c:v>0.18421052631578946</c:v>
                </c:pt>
                <c:pt idx="190">
                  <c:v>0.27894736842105261</c:v>
                </c:pt>
                <c:pt idx="191">
                  <c:v>0.22746781115879827</c:v>
                </c:pt>
                <c:pt idx="192">
                  <c:v>0.22317596566523606</c:v>
                </c:pt>
                <c:pt idx="193">
                  <c:v>0.27896995708154504</c:v>
                </c:pt>
                <c:pt idx="194">
                  <c:v>0.22317596566523606</c:v>
                </c:pt>
                <c:pt idx="195">
                  <c:v>0.26609442060085836</c:v>
                </c:pt>
                <c:pt idx="196">
                  <c:v>0.33047210300429186</c:v>
                </c:pt>
                <c:pt idx="197">
                  <c:v>0.26180257510729615</c:v>
                </c:pt>
                <c:pt idx="198">
                  <c:v>0.25735294117647056</c:v>
                </c:pt>
                <c:pt idx="199">
                  <c:v>0.24264705882352941</c:v>
                </c:pt>
                <c:pt idx="200">
                  <c:v>0.26838235294117646</c:v>
                </c:pt>
                <c:pt idx="201">
                  <c:v>0.26838235294117646</c:v>
                </c:pt>
                <c:pt idx="202">
                  <c:v>0.29411764705882354</c:v>
                </c:pt>
                <c:pt idx="203">
                  <c:v>0.27573529411764708</c:v>
                </c:pt>
                <c:pt idx="204">
                  <c:v>0.33088235294117646</c:v>
                </c:pt>
                <c:pt idx="205">
                  <c:v>0.26440677966101694</c:v>
                </c:pt>
                <c:pt idx="206">
                  <c:v>0.30508474576271188</c:v>
                </c:pt>
                <c:pt idx="207">
                  <c:v>0.29830508474576273</c:v>
                </c:pt>
                <c:pt idx="208">
                  <c:v>0.28135593220338984</c:v>
                </c:pt>
                <c:pt idx="209">
                  <c:v>0.31186440677966104</c:v>
                </c:pt>
                <c:pt idx="210">
                  <c:v>0.33559322033898303</c:v>
                </c:pt>
                <c:pt idx="211">
                  <c:v>0.31525423728813562</c:v>
                </c:pt>
                <c:pt idx="212">
                  <c:v>0.33236994219653176</c:v>
                </c:pt>
                <c:pt idx="213">
                  <c:v>0.31213872832369943</c:v>
                </c:pt>
                <c:pt idx="214">
                  <c:v>0.32369942196531792</c:v>
                </c:pt>
                <c:pt idx="215">
                  <c:v>0.24855491329479767</c:v>
                </c:pt>
                <c:pt idx="216">
                  <c:v>0.2832369942196532</c:v>
                </c:pt>
                <c:pt idx="217">
                  <c:v>0.28901734104046245</c:v>
                </c:pt>
                <c:pt idx="218">
                  <c:v>0.27456647398843931</c:v>
                </c:pt>
                <c:pt idx="219">
                  <c:v>0.28823529411764703</c:v>
                </c:pt>
                <c:pt idx="220">
                  <c:v>0.26470588235294118</c:v>
                </c:pt>
                <c:pt idx="221">
                  <c:v>0.31470588235294117</c:v>
                </c:pt>
                <c:pt idx="222">
                  <c:v>0.29705882352941176</c:v>
                </c:pt>
                <c:pt idx="223">
                  <c:v>0.30588235294117649</c:v>
                </c:pt>
                <c:pt idx="224">
                  <c:v>0.28823529411764703</c:v>
                </c:pt>
                <c:pt idx="225">
                  <c:v>0.29705882352941176</c:v>
                </c:pt>
                <c:pt idx="226">
                  <c:v>0.27089337175792505</c:v>
                </c:pt>
                <c:pt idx="227">
                  <c:v>0.31123919308357351</c:v>
                </c:pt>
                <c:pt idx="228">
                  <c:v>0.29682997118155618</c:v>
                </c:pt>
                <c:pt idx="229">
                  <c:v>0.2737752161383285</c:v>
                </c:pt>
                <c:pt idx="230">
                  <c:v>0.30835734870317005</c:v>
                </c:pt>
                <c:pt idx="231">
                  <c:v>0.33429394812680113</c:v>
                </c:pt>
                <c:pt idx="232">
                  <c:v>0.31412103746397696</c:v>
                </c:pt>
                <c:pt idx="233">
                  <c:v>0.21875</c:v>
                </c:pt>
                <c:pt idx="234">
                  <c:v>0.25520833333333331</c:v>
                </c:pt>
                <c:pt idx="235">
                  <c:v>0.29947916666666669</c:v>
                </c:pt>
                <c:pt idx="236">
                  <c:v>0.24739583333333334</c:v>
                </c:pt>
                <c:pt idx="237">
                  <c:v>0.27604166666666669</c:v>
                </c:pt>
                <c:pt idx="238">
                  <c:v>0.30729166666666669</c:v>
                </c:pt>
                <c:pt idx="239">
                  <c:v>0.33072916666666669</c:v>
                </c:pt>
                <c:pt idx="240">
                  <c:v>0.1702127659574468</c:v>
                </c:pt>
                <c:pt idx="241">
                  <c:v>0.2144026186579378</c:v>
                </c:pt>
                <c:pt idx="242">
                  <c:v>0.21276595744680851</c:v>
                </c:pt>
                <c:pt idx="243">
                  <c:v>0.22585924713584288</c:v>
                </c:pt>
                <c:pt idx="244">
                  <c:v>0.27332242225859249</c:v>
                </c:pt>
                <c:pt idx="245">
                  <c:v>0.27823240589198034</c:v>
                </c:pt>
                <c:pt idx="246">
                  <c:v>0.27004909983633391</c:v>
                </c:pt>
                <c:pt idx="247">
                  <c:v>0.20926966292134833</c:v>
                </c:pt>
                <c:pt idx="248">
                  <c:v>0.21207865168539325</c:v>
                </c:pt>
                <c:pt idx="249">
                  <c:v>0.24297752808988765</c:v>
                </c:pt>
                <c:pt idx="250">
                  <c:v>0.21067415730337077</c:v>
                </c:pt>
                <c:pt idx="251">
                  <c:v>0.22752808988764045</c:v>
                </c:pt>
                <c:pt idx="252">
                  <c:v>0.24578651685393257</c:v>
                </c:pt>
                <c:pt idx="253">
                  <c:v>0.24719101123595505</c:v>
                </c:pt>
                <c:pt idx="254">
                  <c:v>0.23316062176165803</c:v>
                </c:pt>
                <c:pt idx="255">
                  <c:v>0.21761658031088082</c:v>
                </c:pt>
                <c:pt idx="256">
                  <c:v>0.23963730569948186</c:v>
                </c:pt>
                <c:pt idx="257">
                  <c:v>0.2344559585492228</c:v>
                </c:pt>
                <c:pt idx="258">
                  <c:v>0.22279792746113988</c:v>
                </c:pt>
                <c:pt idx="259">
                  <c:v>0.2422279792746114</c:v>
                </c:pt>
                <c:pt idx="260">
                  <c:v>0.28238341968911918</c:v>
                </c:pt>
                <c:pt idx="261">
                  <c:v>0.28048780487804881</c:v>
                </c:pt>
                <c:pt idx="262">
                  <c:v>0.29573170731707316</c:v>
                </c:pt>
                <c:pt idx="263">
                  <c:v>0.19969512195121952</c:v>
                </c:pt>
                <c:pt idx="264">
                  <c:v>0.26829268292682928</c:v>
                </c:pt>
                <c:pt idx="265">
                  <c:v>0.2073170731707317</c:v>
                </c:pt>
                <c:pt idx="266">
                  <c:v>0.23323170731707318</c:v>
                </c:pt>
                <c:pt idx="267">
                  <c:v>0.2423780487804878</c:v>
                </c:pt>
                <c:pt idx="268">
                  <c:v>0.21633888048411498</c:v>
                </c:pt>
                <c:pt idx="269">
                  <c:v>0.23600605143721634</c:v>
                </c:pt>
                <c:pt idx="270">
                  <c:v>0.22844175491679275</c:v>
                </c:pt>
                <c:pt idx="271">
                  <c:v>0.22390317700453857</c:v>
                </c:pt>
                <c:pt idx="272">
                  <c:v>0.2783661119515885</c:v>
                </c:pt>
                <c:pt idx="273">
                  <c:v>0.30862329803328292</c:v>
                </c:pt>
                <c:pt idx="274">
                  <c:v>0.32526475037821484</c:v>
                </c:pt>
                <c:pt idx="275">
                  <c:v>0.2832618025751073</c:v>
                </c:pt>
                <c:pt idx="276">
                  <c:v>0.28469241773962806</c:v>
                </c:pt>
                <c:pt idx="277">
                  <c:v>0.26895565092989987</c:v>
                </c:pt>
                <c:pt idx="278">
                  <c:v>0.28183118741058655</c:v>
                </c:pt>
                <c:pt idx="279">
                  <c:v>0.27467811158798283</c:v>
                </c:pt>
                <c:pt idx="280">
                  <c:v>0.28612303290414881</c:v>
                </c:pt>
                <c:pt idx="281">
                  <c:v>0.27467811158798283</c:v>
                </c:pt>
                <c:pt idx="282">
                  <c:v>0.28013029315960913</c:v>
                </c:pt>
                <c:pt idx="283">
                  <c:v>0.26058631921824105</c:v>
                </c:pt>
                <c:pt idx="284">
                  <c:v>0.2736156351791531</c:v>
                </c:pt>
                <c:pt idx="285">
                  <c:v>0.27850162866449513</c:v>
                </c:pt>
                <c:pt idx="286">
                  <c:v>0.250814332247557</c:v>
                </c:pt>
                <c:pt idx="287">
                  <c:v>0.23778501628664495</c:v>
                </c:pt>
                <c:pt idx="288">
                  <c:v>0.27035830618892509</c:v>
                </c:pt>
                <c:pt idx="289">
                  <c:v>0.24587155963302754</c:v>
                </c:pt>
                <c:pt idx="290">
                  <c:v>0.27339449541284405</c:v>
                </c:pt>
                <c:pt idx="291">
                  <c:v>0.24220183486238533</c:v>
                </c:pt>
                <c:pt idx="292">
                  <c:v>0.24036697247706423</c:v>
                </c:pt>
                <c:pt idx="293">
                  <c:v>0.19082568807339451</c:v>
                </c:pt>
                <c:pt idx="294">
                  <c:v>0.19266055045871561</c:v>
                </c:pt>
                <c:pt idx="295">
                  <c:v>0.19266055045871561</c:v>
                </c:pt>
                <c:pt idx="296">
                  <c:v>0.2132701421800948</c:v>
                </c:pt>
                <c:pt idx="297">
                  <c:v>0.23933649289099526</c:v>
                </c:pt>
                <c:pt idx="298">
                  <c:v>0.21800947867298578</c:v>
                </c:pt>
                <c:pt idx="299">
                  <c:v>0.16113744075829384</c:v>
                </c:pt>
                <c:pt idx="300">
                  <c:v>0.17772511848341233</c:v>
                </c:pt>
                <c:pt idx="301">
                  <c:v>0.17298578199052134</c:v>
                </c:pt>
                <c:pt idx="302">
                  <c:v>0.16824644549763032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52F-4F78-B6BC-D12500737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7798671"/>
        <c:axId val="987813071"/>
      </c:lineChart>
      <c:lineChart>
        <c:grouping val="standard"/>
        <c:varyColors val="0"/>
        <c:ser>
          <c:idx val="1"/>
          <c:order val="2"/>
          <c:tx>
            <c:strRef>
              <c:f>Overall!$L$1</c:f>
              <c:strCache>
                <c:ptCount val="1"/>
                <c:pt idx="0">
                  <c:v>SFM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Overall!$E$2:$E$304</c:f>
              <c:numCache>
                <c:formatCode>m/d/yyyy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Overall!$L$2:$L$304</c:f>
              <c:numCache>
                <c:formatCode>0.00%</c:formatCode>
                <c:ptCount val="303"/>
                <c:pt idx="0">
                  <c:v>1.5544041450777202E-2</c:v>
                </c:pt>
                <c:pt idx="1">
                  <c:v>3.1088082901554404E-2</c:v>
                </c:pt>
                <c:pt idx="2">
                  <c:v>2.5906735751295335E-2</c:v>
                </c:pt>
                <c:pt idx="3">
                  <c:v>5.181347150259067E-2</c:v>
                </c:pt>
                <c:pt idx="4">
                  <c:v>2.5906735751295335E-2</c:v>
                </c:pt>
                <c:pt idx="5">
                  <c:v>6.7357512953367879E-2</c:v>
                </c:pt>
                <c:pt idx="6">
                  <c:v>0.11398963730569948</c:v>
                </c:pt>
                <c:pt idx="7">
                  <c:v>0.11398963730569948</c:v>
                </c:pt>
                <c:pt idx="8">
                  <c:v>0.13471502590673576</c:v>
                </c:pt>
                <c:pt idx="9">
                  <c:v>0.11917098445595854</c:v>
                </c:pt>
                <c:pt idx="10">
                  <c:v>0.12435233160621761</c:v>
                </c:pt>
                <c:pt idx="11">
                  <c:v>0.15544041450777202</c:v>
                </c:pt>
                <c:pt idx="12">
                  <c:v>0.16580310880829016</c:v>
                </c:pt>
                <c:pt idx="13">
                  <c:v>0.12953367875647667</c:v>
                </c:pt>
                <c:pt idx="14">
                  <c:v>0.17616580310880828</c:v>
                </c:pt>
                <c:pt idx="15">
                  <c:v>0.20207253886010362</c:v>
                </c:pt>
                <c:pt idx="16">
                  <c:v>0.11398963730569948</c:v>
                </c:pt>
                <c:pt idx="17">
                  <c:v>0.19689119170984457</c:v>
                </c:pt>
                <c:pt idx="18">
                  <c:v>0.17616580310880828</c:v>
                </c:pt>
                <c:pt idx="19">
                  <c:v>0.25906735751295334</c:v>
                </c:pt>
                <c:pt idx="20">
                  <c:v>0.22279792746113988</c:v>
                </c:pt>
                <c:pt idx="21">
                  <c:v>0.22279792746113988</c:v>
                </c:pt>
                <c:pt idx="22">
                  <c:v>0.27461139896373055</c:v>
                </c:pt>
                <c:pt idx="23">
                  <c:v>0.32642487046632124</c:v>
                </c:pt>
                <c:pt idx="24">
                  <c:v>0.24870466321243523</c:v>
                </c:pt>
                <c:pt idx="25">
                  <c:v>0.30569948186528495</c:v>
                </c:pt>
                <c:pt idx="26">
                  <c:v>0.30569948186528495</c:v>
                </c:pt>
                <c:pt idx="27">
                  <c:v>0.31606217616580312</c:v>
                </c:pt>
                <c:pt idx="28">
                  <c:v>0.33160621761658032</c:v>
                </c:pt>
                <c:pt idx="29">
                  <c:v>0.33160621761658032</c:v>
                </c:pt>
                <c:pt idx="30">
                  <c:v>0.14207650273224043</c:v>
                </c:pt>
                <c:pt idx="31">
                  <c:v>0.16939890710382513</c:v>
                </c:pt>
                <c:pt idx="32">
                  <c:v>0.15027322404371585</c:v>
                </c:pt>
                <c:pt idx="33">
                  <c:v>0.16393442622950818</c:v>
                </c:pt>
                <c:pt idx="34">
                  <c:v>0.14207650273224043</c:v>
                </c:pt>
                <c:pt idx="35">
                  <c:v>0.16939890710382513</c:v>
                </c:pt>
                <c:pt idx="36">
                  <c:v>0.16120218579234974</c:v>
                </c:pt>
                <c:pt idx="37">
                  <c:v>0.15846994535519127</c:v>
                </c:pt>
                <c:pt idx="38">
                  <c:v>0.1448087431693989</c:v>
                </c:pt>
                <c:pt idx="39">
                  <c:v>0.15027322404371585</c:v>
                </c:pt>
                <c:pt idx="40">
                  <c:v>0.17759562841530055</c:v>
                </c:pt>
                <c:pt idx="41">
                  <c:v>0.14754098360655737</c:v>
                </c:pt>
                <c:pt idx="42">
                  <c:v>0.20218579234972678</c:v>
                </c:pt>
                <c:pt idx="43">
                  <c:v>0.16120218579234974</c:v>
                </c:pt>
                <c:pt idx="44">
                  <c:v>0.14754098360655737</c:v>
                </c:pt>
                <c:pt idx="45">
                  <c:v>0.18579234972677597</c:v>
                </c:pt>
                <c:pt idx="46">
                  <c:v>0.16120218579234974</c:v>
                </c:pt>
                <c:pt idx="47">
                  <c:v>0.16666666666666666</c:v>
                </c:pt>
                <c:pt idx="48">
                  <c:v>0.15846994535519127</c:v>
                </c:pt>
                <c:pt idx="49">
                  <c:v>0.1830601092896175</c:v>
                </c:pt>
                <c:pt idx="50">
                  <c:v>0.16939890710382513</c:v>
                </c:pt>
                <c:pt idx="51">
                  <c:v>0.1448087431693989</c:v>
                </c:pt>
                <c:pt idx="52">
                  <c:v>0.16393442622950818</c:v>
                </c:pt>
                <c:pt idx="53">
                  <c:v>0.1830601092896175</c:v>
                </c:pt>
                <c:pt idx="54">
                  <c:v>0.1830601092896175</c:v>
                </c:pt>
                <c:pt idx="55">
                  <c:v>0.16666666666666666</c:v>
                </c:pt>
                <c:pt idx="56">
                  <c:v>0.1721311475409836</c:v>
                </c:pt>
                <c:pt idx="57">
                  <c:v>0.16666666666666666</c:v>
                </c:pt>
                <c:pt idx="58">
                  <c:v>0.14754098360655737</c:v>
                </c:pt>
                <c:pt idx="59">
                  <c:v>0.19672131147540983</c:v>
                </c:pt>
                <c:pt idx="60">
                  <c:v>0.14754098360655737</c:v>
                </c:pt>
                <c:pt idx="61">
                  <c:v>0.17460317460317459</c:v>
                </c:pt>
                <c:pt idx="62">
                  <c:v>0.16137566137566137</c:v>
                </c:pt>
                <c:pt idx="63">
                  <c:v>0.15343915343915343</c:v>
                </c:pt>
                <c:pt idx="64">
                  <c:v>0.1693121693121693</c:v>
                </c:pt>
                <c:pt idx="65">
                  <c:v>0.16402116402116401</c:v>
                </c:pt>
                <c:pt idx="66">
                  <c:v>0.12169312169312169</c:v>
                </c:pt>
                <c:pt idx="67">
                  <c:v>0.12962962962962962</c:v>
                </c:pt>
                <c:pt idx="68">
                  <c:v>0.15608465608465608</c:v>
                </c:pt>
                <c:pt idx="69">
                  <c:v>0.15873015873015872</c:v>
                </c:pt>
                <c:pt idx="70">
                  <c:v>0.1402116402116402</c:v>
                </c:pt>
                <c:pt idx="71">
                  <c:v>0.16137566137566137</c:v>
                </c:pt>
                <c:pt idx="72">
                  <c:v>0.15343915343915343</c:v>
                </c:pt>
                <c:pt idx="73">
                  <c:v>0.1693121693121693</c:v>
                </c:pt>
                <c:pt idx="74">
                  <c:v>0.17195767195767195</c:v>
                </c:pt>
                <c:pt idx="75">
                  <c:v>0.19576719576719576</c:v>
                </c:pt>
                <c:pt idx="76">
                  <c:v>0.15343915343915343</c:v>
                </c:pt>
                <c:pt idx="77">
                  <c:v>0.16402116402116401</c:v>
                </c:pt>
                <c:pt idx="78">
                  <c:v>0.18253968253968253</c:v>
                </c:pt>
                <c:pt idx="79">
                  <c:v>0.17460317460317459</c:v>
                </c:pt>
                <c:pt idx="80">
                  <c:v>0.17724867724867724</c:v>
                </c:pt>
                <c:pt idx="81">
                  <c:v>0.18783068783068782</c:v>
                </c:pt>
                <c:pt idx="82">
                  <c:v>0.17724867724867724</c:v>
                </c:pt>
                <c:pt idx="83">
                  <c:v>0.14550264550264549</c:v>
                </c:pt>
                <c:pt idx="84">
                  <c:v>0.15343915343915343</c:v>
                </c:pt>
                <c:pt idx="85">
                  <c:v>0.19312169312169311</c:v>
                </c:pt>
                <c:pt idx="86">
                  <c:v>0.15343915343915343</c:v>
                </c:pt>
                <c:pt idx="87">
                  <c:v>0.20105820105820105</c:v>
                </c:pt>
                <c:pt idx="88">
                  <c:v>0.16402116402116401</c:v>
                </c:pt>
                <c:pt idx="89">
                  <c:v>0.17460317460317459</c:v>
                </c:pt>
                <c:pt idx="90">
                  <c:v>0.15608465608465608</c:v>
                </c:pt>
                <c:pt idx="91">
                  <c:v>0.15521628498727735</c:v>
                </c:pt>
                <c:pt idx="92">
                  <c:v>0.13231552162849872</c:v>
                </c:pt>
                <c:pt idx="93">
                  <c:v>0.17557251908396945</c:v>
                </c:pt>
                <c:pt idx="94">
                  <c:v>0.17811704834605599</c:v>
                </c:pt>
                <c:pt idx="95">
                  <c:v>0.11450381679389313</c:v>
                </c:pt>
                <c:pt idx="96">
                  <c:v>0.19592875318066158</c:v>
                </c:pt>
                <c:pt idx="97">
                  <c:v>0.15521628498727735</c:v>
                </c:pt>
                <c:pt idx="98">
                  <c:v>0.14249363867684478</c:v>
                </c:pt>
                <c:pt idx="99">
                  <c:v>0.16793893129770993</c:v>
                </c:pt>
                <c:pt idx="100">
                  <c:v>0.12977099236641221</c:v>
                </c:pt>
                <c:pt idx="101">
                  <c:v>0.15012722646310434</c:v>
                </c:pt>
                <c:pt idx="102">
                  <c:v>0.16539440203562342</c:v>
                </c:pt>
                <c:pt idx="103">
                  <c:v>0.13486005089058525</c:v>
                </c:pt>
                <c:pt idx="104">
                  <c:v>0.18320610687022901</c:v>
                </c:pt>
                <c:pt idx="105">
                  <c:v>0.15776081424936386</c:v>
                </c:pt>
                <c:pt idx="106">
                  <c:v>0.15776081424936386</c:v>
                </c:pt>
                <c:pt idx="107">
                  <c:v>0.17811704834605599</c:v>
                </c:pt>
                <c:pt idx="108">
                  <c:v>0.15776081424936386</c:v>
                </c:pt>
                <c:pt idx="109">
                  <c:v>0.20865139949109415</c:v>
                </c:pt>
                <c:pt idx="110">
                  <c:v>0.13231552162849872</c:v>
                </c:pt>
                <c:pt idx="111">
                  <c:v>0.16539440203562342</c:v>
                </c:pt>
                <c:pt idx="112">
                  <c:v>0.16284987277353691</c:v>
                </c:pt>
                <c:pt idx="113">
                  <c:v>0.14503816793893129</c:v>
                </c:pt>
                <c:pt idx="114">
                  <c:v>0.1475826972010178</c:v>
                </c:pt>
                <c:pt idx="115">
                  <c:v>0.16793893129770993</c:v>
                </c:pt>
                <c:pt idx="116">
                  <c:v>0.15267175572519084</c:v>
                </c:pt>
                <c:pt idx="117">
                  <c:v>0.13994910941475827</c:v>
                </c:pt>
                <c:pt idx="118">
                  <c:v>0.16539440203562342</c:v>
                </c:pt>
                <c:pt idx="119">
                  <c:v>0.13740458015267176</c:v>
                </c:pt>
                <c:pt idx="120">
                  <c:v>0.16793893129770993</c:v>
                </c:pt>
                <c:pt idx="121">
                  <c:v>0.18320610687022901</c:v>
                </c:pt>
                <c:pt idx="122">
                  <c:v>0.13615023474178403</c:v>
                </c:pt>
                <c:pt idx="123">
                  <c:v>0.12910798122065728</c:v>
                </c:pt>
                <c:pt idx="124">
                  <c:v>0.13145539906103287</c:v>
                </c:pt>
                <c:pt idx="125">
                  <c:v>0.14788732394366197</c:v>
                </c:pt>
                <c:pt idx="126">
                  <c:v>0.1619718309859155</c:v>
                </c:pt>
                <c:pt idx="127">
                  <c:v>0.14553990610328638</c:v>
                </c:pt>
                <c:pt idx="128">
                  <c:v>0.14084507042253522</c:v>
                </c:pt>
                <c:pt idx="129">
                  <c:v>0.14084507042253522</c:v>
                </c:pt>
                <c:pt idx="130">
                  <c:v>0.14084507042253522</c:v>
                </c:pt>
                <c:pt idx="131">
                  <c:v>0.12910798122065728</c:v>
                </c:pt>
                <c:pt idx="132">
                  <c:v>0.14553990610328638</c:v>
                </c:pt>
                <c:pt idx="133">
                  <c:v>0.12441314553990611</c:v>
                </c:pt>
                <c:pt idx="134">
                  <c:v>0.12676056338028169</c:v>
                </c:pt>
                <c:pt idx="135">
                  <c:v>0.107981220657277</c:v>
                </c:pt>
                <c:pt idx="136">
                  <c:v>0.12910798122065728</c:v>
                </c:pt>
                <c:pt idx="137">
                  <c:v>0.11971830985915492</c:v>
                </c:pt>
                <c:pt idx="138">
                  <c:v>0.13615023474178403</c:v>
                </c:pt>
                <c:pt idx="139">
                  <c:v>0.11971830985915492</c:v>
                </c:pt>
                <c:pt idx="140">
                  <c:v>9.3896713615023469E-2</c:v>
                </c:pt>
                <c:pt idx="141">
                  <c:v>0.11737089201877934</c:v>
                </c:pt>
                <c:pt idx="142">
                  <c:v>7.9812206572769953E-2</c:v>
                </c:pt>
                <c:pt idx="143">
                  <c:v>9.6244131455399062E-2</c:v>
                </c:pt>
                <c:pt idx="144">
                  <c:v>9.154929577464789E-2</c:v>
                </c:pt>
                <c:pt idx="145">
                  <c:v>7.5117370892018781E-2</c:v>
                </c:pt>
                <c:pt idx="146">
                  <c:v>7.5117370892018781E-2</c:v>
                </c:pt>
                <c:pt idx="147">
                  <c:v>7.2769953051643188E-2</c:v>
                </c:pt>
                <c:pt idx="148">
                  <c:v>8.2159624413145546E-2</c:v>
                </c:pt>
                <c:pt idx="149">
                  <c:v>7.5117370892018781E-2</c:v>
                </c:pt>
                <c:pt idx="150">
                  <c:v>5.39906103286385E-2</c:v>
                </c:pt>
                <c:pt idx="151">
                  <c:v>8.2159624413145546E-2</c:v>
                </c:pt>
                <c:pt idx="152">
                  <c:v>8.2051282051282051E-2</c:v>
                </c:pt>
                <c:pt idx="153">
                  <c:v>6.4102564102564097E-2</c:v>
                </c:pt>
                <c:pt idx="154">
                  <c:v>4.8717948717948718E-2</c:v>
                </c:pt>
                <c:pt idx="155">
                  <c:v>7.6923076923076927E-2</c:v>
                </c:pt>
                <c:pt idx="156">
                  <c:v>5.8974358974358973E-2</c:v>
                </c:pt>
                <c:pt idx="157">
                  <c:v>8.2051282051282051E-2</c:v>
                </c:pt>
                <c:pt idx="158">
                  <c:v>8.9743589743589744E-2</c:v>
                </c:pt>
                <c:pt idx="159">
                  <c:v>7.4358974358974358E-2</c:v>
                </c:pt>
                <c:pt idx="160">
                  <c:v>9.2307692307692313E-2</c:v>
                </c:pt>
                <c:pt idx="161">
                  <c:v>7.6923076923076927E-2</c:v>
                </c:pt>
                <c:pt idx="162">
                  <c:v>6.4102564102564097E-2</c:v>
                </c:pt>
                <c:pt idx="163">
                  <c:v>7.9487179487179482E-2</c:v>
                </c:pt>
                <c:pt idx="164">
                  <c:v>8.7179487179487175E-2</c:v>
                </c:pt>
                <c:pt idx="165">
                  <c:v>5.6410256410256411E-2</c:v>
                </c:pt>
                <c:pt idx="166">
                  <c:v>6.6666666666666666E-2</c:v>
                </c:pt>
                <c:pt idx="167">
                  <c:v>6.9230769230769235E-2</c:v>
                </c:pt>
                <c:pt idx="168">
                  <c:v>7.179487179487179E-2</c:v>
                </c:pt>
                <c:pt idx="169">
                  <c:v>5.128205128205128E-2</c:v>
                </c:pt>
                <c:pt idx="170">
                  <c:v>8.2051282051282051E-2</c:v>
                </c:pt>
                <c:pt idx="171">
                  <c:v>7.179487179487179E-2</c:v>
                </c:pt>
                <c:pt idx="172">
                  <c:v>7.179487179487179E-2</c:v>
                </c:pt>
                <c:pt idx="173">
                  <c:v>7.4358974358974358E-2</c:v>
                </c:pt>
                <c:pt idx="174">
                  <c:v>9.2307692307692313E-2</c:v>
                </c:pt>
                <c:pt idx="175">
                  <c:v>6.1538461538461542E-2</c:v>
                </c:pt>
                <c:pt idx="176">
                  <c:v>8.461538461538462E-2</c:v>
                </c:pt>
                <c:pt idx="177">
                  <c:v>6.6666666666666666E-2</c:v>
                </c:pt>
                <c:pt idx="178">
                  <c:v>6.1538461538461542E-2</c:v>
                </c:pt>
                <c:pt idx="179">
                  <c:v>8.2051282051282051E-2</c:v>
                </c:pt>
                <c:pt idx="180">
                  <c:v>7.4358974358974358E-2</c:v>
                </c:pt>
                <c:pt idx="181">
                  <c:v>5.6410256410256411E-2</c:v>
                </c:pt>
                <c:pt idx="182">
                  <c:v>9.4871794871794868E-2</c:v>
                </c:pt>
                <c:pt idx="183">
                  <c:v>4.4776119402985072E-2</c:v>
                </c:pt>
                <c:pt idx="184">
                  <c:v>6.5298507462686561E-2</c:v>
                </c:pt>
                <c:pt idx="185">
                  <c:v>7.4626865671641784E-2</c:v>
                </c:pt>
                <c:pt idx="186">
                  <c:v>8.5820895522388058E-2</c:v>
                </c:pt>
                <c:pt idx="187">
                  <c:v>6.7164179104477612E-2</c:v>
                </c:pt>
                <c:pt idx="188">
                  <c:v>8.5820895522388058E-2</c:v>
                </c:pt>
                <c:pt idx="189">
                  <c:v>6.5298507462686561E-2</c:v>
                </c:pt>
                <c:pt idx="190">
                  <c:v>9.8880597014925367E-2</c:v>
                </c:pt>
                <c:pt idx="191">
                  <c:v>9.8880597014925367E-2</c:v>
                </c:pt>
                <c:pt idx="192">
                  <c:v>9.7014925373134331E-2</c:v>
                </c:pt>
                <c:pt idx="193">
                  <c:v>0.12126865671641791</c:v>
                </c:pt>
                <c:pt idx="194">
                  <c:v>9.7014925373134331E-2</c:v>
                </c:pt>
                <c:pt idx="195">
                  <c:v>0.11567164179104478</c:v>
                </c:pt>
                <c:pt idx="196">
                  <c:v>0.14365671641791045</c:v>
                </c:pt>
                <c:pt idx="197">
                  <c:v>0.11380597014925373</c:v>
                </c:pt>
                <c:pt idx="198">
                  <c:v>0.13059701492537312</c:v>
                </c:pt>
                <c:pt idx="199">
                  <c:v>0.12313432835820895</c:v>
                </c:pt>
                <c:pt idx="200">
                  <c:v>0.13619402985074627</c:v>
                </c:pt>
                <c:pt idx="201">
                  <c:v>0.13619402985074627</c:v>
                </c:pt>
                <c:pt idx="202">
                  <c:v>0.14925373134328357</c:v>
                </c:pt>
                <c:pt idx="203">
                  <c:v>0.13992537313432835</c:v>
                </c:pt>
                <c:pt idx="204">
                  <c:v>0.16791044776119404</c:v>
                </c:pt>
                <c:pt idx="205">
                  <c:v>0.1455223880597015</c:v>
                </c:pt>
                <c:pt idx="206">
                  <c:v>0.16791044776119404</c:v>
                </c:pt>
                <c:pt idx="207">
                  <c:v>0.16417910447761194</c:v>
                </c:pt>
                <c:pt idx="208">
                  <c:v>0.15485074626865672</c:v>
                </c:pt>
                <c:pt idx="209">
                  <c:v>0.17164179104477612</c:v>
                </c:pt>
                <c:pt idx="210">
                  <c:v>0.18470149253731344</c:v>
                </c:pt>
                <c:pt idx="211">
                  <c:v>0.17350746268656717</c:v>
                </c:pt>
                <c:pt idx="212">
                  <c:v>0.21455223880597016</c:v>
                </c:pt>
                <c:pt idx="213">
                  <c:v>0.20149253731343283</c:v>
                </c:pt>
                <c:pt idx="214">
                  <c:v>0.16091954022988506</c:v>
                </c:pt>
                <c:pt idx="215">
                  <c:v>0.1235632183908046</c:v>
                </c:pt>
                <c:pt idx="216">
                  <c:v>0.14080459770114942</c:v>
                </c:pt>
                <c:pt idx="217">
                  <c:v>0.14367816091954022</c:v>
                </c:pt>
                <c:pt idx="218">
                  <c:v>0.13649425287356323</c:v>
                </c:pt>
                <c:pt idx="219">
                  <c:v>0.14080459770114942</c:v>
                </c:pt>
                <c:pt idx="220">
                  <c:v>0.12931034482758622</c:v>
                </c:pt>
                <c:pt idx="221">
                  <c:v>0.15373563218390804</c:v>
                </c:pt>
                <c:pt idx="222">
                  <c:v>0.14511494252873564</c:v>
                </c:pt>
                <c:pt idx="223">
                  <c:v>0.14942528735632185</c:v>
                </c:pt>
                <c:pt idx="224">
                  <c:v>0.14080459770114942</c:v>
                </c:pt>
                <c:pt idx="225">
                  <c:v>0.14511494252873564</c:v>
                </c:pt>
                <c:pt idx="226">
                  <c:v>0.13505747126436782</c:v>
                </c:pt>
                <c:pt idx="227">
                  <c:v>0.15517241379310345</c:v>
                </c:pt>
                <c:pt idx="228">
                  <c:v>0.14798850574712644</c:v>
                </c:pt>
                <c:pt idx="229">
                  <c:v>0.13649425287356323</c:v>
                </c:pt>
                <c:pt idx="230">
                  <c:v>0.15373563218390804</c:v>
                </c:pt>
                <c:pt idx="231">
                  <c:v>0.16666666666666666</c:v>
                </c:pt>
                <c:pt idx="232">
                  <c:v>0.15660919540229884</c:v>
                </c:pt>
                <c:pt idx="233">
                  <c:v>0.1206896551724138</c:v>
                </c:pt>
                <c:pt idx="234">
                  <c:v>0.14080459770114942</c:v>
                </c:pt>
                <c:pt idx="235">
                  <c:v>0.16522988505747127</c:v>
                </c:pt>
                <c:pt idx="236">
                  <c:v>0.13649425287356323</c:v>
                </c:pt>
                <c:pt idx="237">
                  <c:v>0.15229885057471265</c:v>
                </c:pt>
                <c:pt idx="238">
                  <c:v>0.16954022988505746</c:v>
                </c:pt>
                <c:pt idx="239">
                  <c:v>0.18247126436781611</c:v>
                </c:pt>
                <c:pt idx="240">
                  <c:v>0.14942528735632185</c:v>
                </c:pt>
                <c:pt idx="241">
                  <c:v>0.18821839080459771</c:v>
                </c:pt>
                <c:pt idx="242">
                  <c:v>8.4196891191709838E-2</c:v>
                </c:pt>
                <c:pt idx="243">
                  <c:v>8.937823834196891E-2</c:v>
                </c:pt>
                <c:pt idx="244">
                  <c:v>0.10816062176165803</c:v>
                </c:pt>
                <c:pt idx="245">
                  <c:v>0.11010362694300518</c:v>
                </c:pt>
                <c:pt idx="246">
                  <c:v>0.10686528497409327</c:v>
                </c:pt>
                <c:pt idx="247">
                  <c:v>9.6502590673575125E-2</c:v>
                </c:pt>
                <c:pt idx="248">
                  <c:v>9.7797927461139897E-2</c:v>
                </c:pt>
                <c:pt idx="249">
                  <c:v>0.11204663212435233</c:v>
                </c:pt>
                <c:pt idx="250">
                  <c:v>9.7150259067357511E-2</c:v>
                </c:pt>
                <c:pt idx="251">
                  <c:v>0.10492227979274611</c:v>
                </c:pt>
                <c:pt idx="252">
                  <c:v>0.1133419689119171</c:v>
                </c:pt>
                <c:pt idx="253">
                  <c:v>0.11398963730569948</c:v>
                </c:pt>
                <c:pt idx="254">
                  <c:v>0.11658031088082901</c:v>
                </c:pt>
                <c:pt idx="255">
                  <c:v>0.10880829015544041</c:v>
                </c:pt>
                <c:pt idx="256">
                  <c:v>0.11981865284974093</c:v>
                </c:pt>
                <c:pt idx="257">
                  <c:v>0.1172279792746114</c:v>
                </c:pt>
                <c:pt idx="258">
                  <c:v>0.11139896373056994</c:v>
                </c:pt>
                <c:pt idx="259">
                  <c:v>0.1211139896373057</c:v>
                </c:pt>
                <c:pt idx="260">
                  <c:v>0.14119170984455959</c:v>
                </c:pt>
                <c:pt idx="261">
                  <c:v>0.11917098445595854</c:v>
                </c:pt>
                <c:pt idx="262">
                  <c:v>0.12564766839378239</c:v>
                </c:pt>
                <c:pt idx="263">
                  <c:v>8.4844559585492224E-2</c:v>
                </c:pt>
                <c:pt idx="264">
                  <c:v>0.11398963730569948</c:v>
                </c:pt>
                <c:pt idx="265">
                  <c:v>8.8082901554404139E-2</c:v>
                </c:pt>
                <c:pt idx="266">
                  <c:v>9.9093264248704668E-2</c:v>
                </c:pt>
                <c:pt idx="267">
                  <c:v>0.10297927461139897</c:v>
                </c:pt>
                <c:pt idx="268">
                  <c:v>9.2616580310880825E-2</c:v>
                </c:pt>
                <c:pt idx="269">
                  <c:v>0.10103626943005181</c:v>
                </c:pt>
                <c:pt idx="270">
                  <c:v>9.7797927461139897E-2</c:v>
                </c:pt>
                <c:pt idx="271">
                  <c:v>9.585492227979274E-2</c:v>
                </c:pt>
                <c:pt idx="272">
                  <c:v>0.11917098445595854</c:v>
                </c:pt>
                <c:pt idx="273">
                  <c:v>0.19863680623174293</c:v>
                </c:pt>
                <c:pt idx="274">
                  <c:v>0.20934761441090555</c:v>
                </c:pt>
                <c:pt idx="275">
                  <c:v>0.19279454722492698</c:v>
                </c:pt>
                <c:pt idx="276">
                  <c:v>0.19376825705939629</c:v>
                </c:pt>
                <c:pt idx="277">
                  <c:v>0.1830574488802337</c:v>
                </c:pt>
                <c:pt idx="278">
                  <c:v>0.19182083739045763</c:v>
                </c:pt>
                <c:pt idx="279">
                  <c:v>0.186952288218111</c:v>
                </c:pt>
                <c:pt idx="280">
                  <c:v>0.19474196689386564</c:v>
                </c:pt>
                <c:pt idx="281">
                  <c:v>0.186952288218111</c:v>
                </c:pt>
                <c:pt idx="282">
                  <c:v>0.16747809152872445</c:v>
                </c:pt>
                <c:pt idx="283">
                  <c:v>0.15579357351509251</c:v>
                </c:pt>
                <c:pt idx="284">
                  <c:v>0.16358325219084713</c:v>
                </c:pt>
                <c:pt idx="285">
                  <c:v>0.1665043816942551</c:v>
                </c:pt>
                <c:pt idx="286">
                  <c:v>0.14995131450827653</c:v>
                </c:pt>
                <c:pt idx="287">
                  <c:v>0.14216163583252192</c:v>
                </c:pt>
                <c:pt idx="288">
                  <c:v>0.16163583252190847</c:v>
                </c:pt>
                <c:pt idx="289">
                  <c:v>0.13047711781888996</c:v>
                </c:pt>
                <c:pt idx="290">
                  <c:v>0.1450827653359299</c:v>
                </c:pt>
                <c:pt idx="291">
                  <c:v>0.12852969814995133</c:v>
                </c:pt>
                <c:pt idx="292">
                  <c:v>0.12755598831548198</c:v>
                </c:pt>
                <c:pt idx="293">
                  <c:v>0.10126582278481013</c:v>
                </c:pt>
                <c:pt idx="294">
                  <c:v>0.10223953261927946</c:v>
                </c:pt>
                <c:pt idx="295">
                  <c:v>0.10223953261927946</c:v>
                </c:pt>
                <c:pt idx="296">
                  <c:v>8.7633885102239531E-2</c:v>
                </c:pt>
                <c:pt idx="297">
                  <c:v>9.8344693281402148E-2</c:v>
                </c:pt>
                <c:pt idx="298">
                  <c:v>8.9581304771178191E-2</c:v>
                </c:pt>
                <c:pt idx="299">
                  <c:v>6.621226874391431E-2</c:v>
                </c:pt>
                <c:pt idx="300">
                  <c:v>7.3028237585199607E-2</c:v>
                </c:pt>
                <c:pt idx="301">
                  <c:v>7.108081791626096E-2</c:v>
                </c:pt>
                <c:pt idx="302">
                  <c:v>6.91333982473223E-2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52F-4F78-B6BC-D12500737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400528"/>
        <c:axId val="518411088"/>
      </c:lineChart>
      <c:dateAx>
        <c:axId val="987798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Дата</a:t>
                </a:r>
              </a:p>
            </c:rich>
          </c:tx>
          <c:overlay val="0"/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7813071"/>
        <c:crosses val="autoZero"/>
        <c:auto val="1"/>
        <c:lblOffset val="100"/>
        <c:baseTimeUnit val="days"/>
      </c:dateAx>
      <c:valAx>
        <c:axId val="98781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Значения </a:t>
                </a:r>
                <a:r>
                  <a:rPr lang="en-US"/>
                  <a:t>SFW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7798671"/>
        <c:crosses val="autoZero"/>
        <c:crossBetween val="between"/>
      </c:valAx>
      <c:valAx>
        <c:axId val="518411088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Значения </a:t>
                </a:r>
                <a:r>
                  <a:rPr lang="en-US"/>
                  <a:t>SFM</a:t>
                </a:r>
              </a:p>
            </c:rich>
          </c:tx>
          <c:overlay val="0"/>
        </c:title>
        <c:numFmt formatCode="0.00%" sourceLinked="1"/>
        <c:majorTickMark val="out"/>
        <c:minorTickMark val="none"/>
        <c:tickLblPos val="nextTo"/>
        <c:crossAx val="518400528"/>
        <c:crosses val="max"/>
        <c:crossBetween val="between"/>
      </c:valAx>
      <c:dateAx>
        <c:axId val="51840052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518411088"/>
        <c:auto val="1"/>
        <c:lblOffset val="100"/>
        <c:baseTimeUnit val="days"/>
      </c:dateAx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114299</xdr:colOff>
      <xdr:row>1</xdr:row>
      <xdr:rowOff>19050</xdr:rowOff>
    </xdr:from>
    <xdr:to>
      <xdr:col>24</xdr:col>
      <xdr:colOff>428624</xdr:colOff>
      <xdr:row>26</xdr:row>
      <xdr:rowOff>57150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1DF4782-570A-A1A6-71B4-30BE84A199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12</xdr:col>
      <xdr:colOff>114302</xdr:colOff>
      <xdr:row>26</xdr:row>
      <xdr:rowOff>57150</xdr:rowOff>
    </xdr:from>
    <xdr:ext cx="7629524" cy="8191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325C7A1-2DA6-0D97-9262-732C93993470}"/>
            </a:ext>
          </a:extLst>
        </xdr:cNvPr>
        <xdr:cNvSpPr txBox="1"/>
      </xdr:nvSpPr>
      <xdr:spPr>
        <a:xfrm>
          <a:off x="7829552" y="5010150"/>
          <a:ext cx="7629524" cy="819150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100"/>
            <a:t>С начала 2023</a:t>
          </a:r>
          <a:r>
            <a:rPr lang="ru-RU" sz="1100" baseline="0"/>
            <a:t> </a:t>
          </a:r>
          <a:r>
            <a:rPr lang="ru-RU" sz="1100"/>
            <a:t>года наблюдается постепенный рост активности пользователей. </a:t>
          </a:r>
        </a:p>
        <a:p>
          <a:r>
            <a:rPr lang="ru-RU" sz="1100"/>
            <a:t>А в первые 3 недели марта 2023 г., -  действительно, резкий всплеск пользовательской активности,</a:t>
          </a:r>
          <a:r>
            <a:rPr lang="ru-RU" sz="1100" baseline="0"/>
            <a:t> очевидно, в ответ на проведеннуюмаркетинговую акцию. </a:t>
          </a:r>
        </a:p>
        <a:p>
          <a:r>
            <a:rPr lang="ru-RU" sz="1100" baseline="0"/>
            <a:t>В дальнейшем (в апреле) количественные показатели аудитории идут на спад.</a:t>
          </a:r>
          <a:endParaRPr lang="ru-RU" sz="1100"/>
        </a:p>
      </xdr:txBody>
    </xdr:sp>
    <xdr:clientData/>
  </xdr:oneCellAnchor>
  <xdr:twoCellAnchor>
    <xdr:from>
      <xdr:col>12</xdr:col>
      <xdr:colOff>152400</xdr:colOff>
      <xdr:row>31</xdr:row>
      <xdr:rowOff>185737</xdr:rowOff>
    </xdr:from>
    <xdr:to>
      <xdr:col>24</xdr:col>
      <xdr:colOff>514350</xdr:colOff>
      <xdr:row>53</xdr:row>
      <xdr:rowOff>57150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8866CA98-F18B-BA39-5D83-AF028F7EEF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12</xdr:col>
      <xdr:colOff>152400</xdr:colOff>
      <xdr:row>53</xdr:row>
      <xdr:rowOff>57148</xdr:rowOff>
    </xdr:from>
    <xdr:ext cx="7677150" cy="265747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F69232D-823D-D9BC-9C7B-0DE0488BBAA5}"/>
            </a:ext>
          </a:extLst>
        </xdr:cNvPr>
        <xdr:cNvSpPr txBox="1"/>
      </xdr:nvSpPr>
      <xdr:spPr>
        <a:xfrm>
          <a:off x="7867650" y="10153648"/>
          <a:ext cx="7677150" cy="2657477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100"/>
            <a:t>К сожалению, проведенная в марте 2023 г. акция практически не отразилась на показателях </a:t>
          </a:r>
          <a:r>
            <a:rPr lang="en-US" sz="1100"/>
            <a:t>SFW </a:t>
          </a:r>
          <a:r>
            <a:rPr lang="ru-RU" sz="1100"/>
            <a:t>и </a:t>
          </a:r>
          <a:r>
            <a:rPr lang="en-US" sz="1100"/>
            <a:t>SFM</a:t>
          </a:r>
          <a:r>
            <a:rPr lang="ru-RU" sz="1100"/>
            <a:t>.</a:t>
          </a:r>
        </a:p>
        <a:p>
          <a:endParaRPr lang="ru-RU" sz="1100"/>
        </a:p>
        <a:p>
          <a:r>
            <a:rPr lang="ru-RU" sz="1100"/>
            <a:t>В целом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SFW </a:t>
          </a:r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SFM</a:t>
          </a:r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 2022 году ведут себя достаточно ровно, несколько деградируют в ноябре - декабре 2022.</a:t>
          </a:r>
        </a:p>
        <a:p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января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2023 г. наблюдается их синхронный рост с пиком в начале февраля. </a:t>
          </a:r>
        </a:p>
        <a:p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В дальнейшем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SFW </a:t>
          </a:r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ведет сябя достаточно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неровно, впрочем, оставаясь в пределах колебаний  20 - 33%, а после последнего всплеска в начале апреля идет на спад.</a:t>
          </a:r>
        </a:p>
        <a:p>
          <a:endParaRPr lang="ru-RU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В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то же время</a:t>
          </a:r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в динамике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SFM</a:t>
          </a:r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с февраля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2023 г. </a:t>
          </a:r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наблюдается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некая цикличность с всплеском в начале каждого месяца и последующим довольно резким провалом. Связи такого поведения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SFM</a:t>
          </a:r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проведенной в марте 2023 г. акцией не наблюдается. Причины такого поведения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SFM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следует еще поискать. </a:t>
          </a:r>
        </a:p>
        <a:p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Таким образом, приверженность пользовательской аудитории нашему продукту, выраженная в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SFW </a:t>
          </a:r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SFM</a:t>
          </a:r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не претерпела изменений в связи с проведением акции.</a:t>
          </a:r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ru-RU" sz="1100"/>
        </a:p>
      </xdr:txBody>
    </xdr:sp>
    <xdr:clientData/>
  </xdr:oneCellAnchor>
  <xdr:twoCellAnchor>
    <xdr:from>
      <xdr:col>13</xdr:col>
      <xdr:colOff>152400</xdr:colOff>
      <xdr:row>70</xdr:row>
      <xdr:rowOff>76200</xdr:rowOff>
    </xdr:from>
    <xdr:to>
      <xdr:col>25</xdr:col>
      <xdr:colOff>514350</xdr:colOff>
      <xdr:row>91</xdr:row>
      <xdr:rowOff>138113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9896F22A-BB62-4921-BD08-48AE773D0C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sqref="A1:B11"/>
    </sheetView>
  </sheetViews>
  <sheetFormatPr defaultRowHeight="15" x14ac:dyDescent="0.25"/>
  <cols>
    <col min="1" max="1" width="16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44743</v>
      </c>
      <c r="B2">
        <v>193</v>
      </c>
    </row>
    <row r="3" spans="1:2" x14ac:dyDescent="0.25">
      <c r="A3" s="1">
        <v>44774</v>
      </c>
      <c r="B3">
        <v>366</v>
      </c>
    </row>
    <row r="4" spans="1:2" x14ac:dyDescent="0.25">
      <c r="A4" s="1">
        <v>44805</v>
      </c>
      <c r="B4">
        <v>378</v>
      </c>
    </row>
    <row r="5" spans="1:2" x14ac:dyDescent="0.25">
      <c r="A5" s="1">
        <v>44835</v>
      </c>
      <c r="B5">
        <v>393</v>
      </c>
    </row>
    <row r="6" spans="1:2" x14ac:dyDescent="0.25">
      <c r="A6" s="1">
        <v>44866</v>
      </c>
      <c r="B6">
        <v>426</v>
      </c>
    </row>
    <row r="7" spans="1:2" x14ac:dyDescent="0.25">
      <c r="A7" s="1">
        <v>44896</v>
      </c>
      <c r="B7">
        <v>390</v>
      </c>
    </row>
    <row r="8" spans="1:2" x14ac:dyDescent="0.25">
      <c r="A8" s="1">
        <v>44927</v>
      </c>
      <c r="B8">
        <v>536</v>
      </c>
    </row>
    <row r="9" spans="1:2" x14ac:dyDescent="0.25">
      <c r="A9" s="1">
        <v>44958</v>
      </c>
      <c r="B9">
        <v>696</v>
      </c>
    </row>
    <row r="10" spans="1:2" x14ac:dyDescent="0.25">
      <c r="A10" s="1">
        <v>44986</v>
      </c>
      <c r="B10">
        <v>1544</v>
      </c>
    </row>
    <row r="11" spans="1:2" x14ac:dyDescent="0.25">
      <c r="A11" s="1">
        <v>45017</v>
      </c>
      <c r="B11">
        <v>1027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B7C9A-BA80-4455-BB56-C2BC4C37A1B3}">
  <dimension ref="A1:F45"/>
  <sheetViews>
    <sheetView workbookViewId="0">
      <selection activeCell="C3" sqref="C3"/>
    </sheetView>
  </sheetViews>
  <sheetFormatPr defaultRowHeight="15" x14ac:dyDescent="0.25"/>
  <cols>
    <col min="1" max="1" width="14.28515625" bestFit="1" customWidth="1"/>
  </cols>
  <sheetData>
    <row r="1" spans="1:6" x14ac:dyDescent="0.25">
      <c r="A1" t="s">
        <v>2</v>
      </c>
      <c r="B1" t="s">
        <v>3</v>
      </c>
      <c r="C1" t="s">
        <v>4</v>
      </c>
      <c r="D1" t="s">
        <v>5</v>
      </c>
    </row>
    <row r="2" spans="1:6" x14ac:dyDescent="0.25">
      <c r="A2" s="1">
        <v>44739</v>
      </c>
      <c r="B2">
        <v>6</v>
      </c>
      <c r="C2">
        <f>_xlfn.ISOWEEKNUM(A2)</f>
        <v>26</v>
      </c>
      <c r="D2">
        <f>YEAR(A2)</f>
        <v>2022</v>
      </c>
      <c r="E2" t="str">
        <f>CONCATENATE(C2,"-я нед. ",D2)</f>
        <v>26-я нед. 2022</v>
      </c>
      <c r="F2" s="2"/>
    </row>
    <row r="3" spans="1:6" x14ac:dyDescent="0.25">
      <c r="A3" s="1">
        <v>44746</v>
      </c>
      <c r="B3">
        <v>59</v>
      </c>
      <c r="C3">
        <f t="shared" ref="C3:C45" si="0">_xlfn.ISOWEEKNUM(A3)</f>
        <v>27</v>
      </c>
      <c r="D3">
        <f t="shared" ref="D3:D45" si="1">YEAR(A3)</f>
        <v>2022</v>
      </c>
      <c r="E3" t="str">
        <f t="shared" ref="E3:E45" si="2">CONCATENATE(C3,"-я нед. ",D3)</f>
        <v>27-я нед. 2022</v>
      </c>
    </row>
    <row r="4" spans="1:6" x14ac:dyDescent="0.25">
      <c r="A4" s="1">
        <v>44753</v>
      </c>
      <c r="B4">
        <v>92</v>
      </c>
      <c r="C4">
        <f t="shared" si="0"/>
        <v>28</v>
      </c>
      <c r="D4">
        <f t="shared" si="1"/>
        <v>2022</v>
      </c>
      <c r="E4" t="str">
        <f t="shared" si="2"/>
        <v>28-я нед. 2022</v>
      </c>
    </row>
    <row r="5" spans="1:6" x14ac:dyDescent="0.25">
      <c r="A5" s="1">
        <v>44760</v>
      </c>
      <c r="B5">
        <v>133</v>
      </c>
      <c r="C5">
        <f t="shared" si="0"/>
        <v>29</v>
      </c>
      <c r="D5">
        <f t="shared" si="1"/>
        <v>2022</v>
      </c>
      <c r="E5" t="str">
        <f t="shared" si="2"/>
        <v>29-я нед. 2022</v>
      </c>
    </row>
    <row r="6" spans="1:6" x14ac:dyDescent="0.25">
      <c r="A6" s="1">
        <v>44767</v>
      </c>
      <c r="B6">
        <v>183</v>
      </c>
      <c r="C6">
        <f t="shared" si="0"/>
        <v>30</v>
      </c>
      <c r="D6">
        <f t="shared" si="1"/>
        <v>2022</v>
      </c>
      <c r="E6" t="str">
        <f t="shared" si="2"/>
        <v>30-я нед. 2022</v>
      </c>
    </row>
    <row r="7" spans="1:6" x14ac:dyDescent="0.25">
      <c r="A7" s="1">
        <v>44774</v>
      </c>
      <c r="B7">
        <v>202</v>
      </c>
      <c r="C7">
        <f t="shared" si="0"/>
        <v>31</v>
      </c>
      <c r="D7">
        <f t="shared" si="1"/>
        <v>2022</v>
      </c>
      <c r="E7" t="str">
        <f t="shared" si="2"/>
        <v>31-я нед. 2022</v>
      </c>
    </row>
    <row r="8" spans="1:6" x14ac:dyDescent="0.25">
      <c r="A8" s="1">
        <v>44781</v>
      </c>
      <c r="B8">
        <v>193</v>
      </c>
      <c r="C8">
        <f t="shared" si="0"/>
        <v>32</v>
      </c>
      <c r="D8">
        <f t="shared" si="1"/>
        <v>2022</v>
      </c>
      <c r="E8" t="str">
        <f t="shared" si="2"/>
        <v>32-я нед. 2022</v>
      </c>
    </row>
    <row r="9" spans="1:6" x14ac:dyDescent="0.25">
      <c r="A9" s="1">
        <v>44788</v>
      </c>
      <c r="B9">
        <v>201</v>
      </c>
      <c r="C9">
        <f t="shared" si="0"/>
        <v>33</v>
      </c>
      <c r="D9">
        <f t="shared" si="1"/>
        <v>2022</v>
      </c>
      <c r="E9" t="str">
        <f t="shared" si="2"/>
        <v>33-я нед. 2022</v>
      </c>
    </row>
    <row r="10" spans="1:6" x14ac:dyDescent="0.25">
      <c r="A10" s="1">
        <v>44795</v>
      </c>
      <c r="B10">
        <v>206</v>
      </c>
      <c r="C10">
        <f t="shared" si="0"/>
        <v>34</v>
      </c>
      <c r="D10">
        <f t="shared" si="1"/>
        <v>2022</v>
      </c>
      <c r="E10" t="str">
        <f t="shared" si="2"/>
        <v>34-я нед. 2022</v>
      </c>
    </row>
    <row r="11" spans="1:6" x14ac:dyDescent="0.25">
      <c r="A11" s="1">
        <v>44802</v>
      </c>
      <c r="B11">
        <v>192</v>
      </c>
      <c r="C11">
        <f t="shared" si="0"/>
        <v>35</v>
      </c>
      <c r="D11">
        <f t="shared" si="1"/>
        <v>2022</v>
      </c>
      <c r="E11" t="str">
        <f t="shared" si="2"/>
        <v>35-я нед. 2022</v>
      </c>
    </row>
    <row r="12" spans="1:6" x14ac:dyDescent="0.25">
      <c r="A12" s="1">
        <v>44809</v>
      </c>
      <c r="B12">
        <v>196</v>
      </c>
      <c r="C12">
        <f t="shared" si="0"/>
        <v>36</v>
      </c>
      <c r="D12">
        <f t="shared" si="1"/>
        <v>2022</v>
      </c>
      <c r="E12" t="str">
        <f t="shared" si="2"/>
        <v>36-я нед. 2022</v>
      </c>
    </row>
    <row r="13" spans="1:6" x14ac:dyDescent="0.25">
      <c r="A13" s="1">
        <v>44816</v>
      </c>
      <c r="B13">
        <v>205</v>
      </c>
      <c r="C13">
        <f t="shared" si="0"/>
        <v>37</v>
      </c>
      <c r="D13">
        <f t="shared" si="1"/>
        <v>2022</v>
      </c>
      <c r="E13" t="str">
        <f t="shared" si="2"/>
        <v>37-я нед. 2022</v>
      </c>
    </row>
    <row r="14" spans="1:6" x14ac:dyDescent="0.25">
      <c r="A14" s="1">
        <v>44823</v>
      </c>
      <c r="B14">
        <v>213</v>
      </c>
      <c r="C14">
        <f t="shared" si="0"/>
        <v>38</v>
      </c>
      <c r="D14">
        <f t="shared" si="1"/>
        <v>2022</v>
      </c>
      <c r="E14" t="str">
        <f t="shared" si="2"/>
        <v>38-я нед. 2022</v>
      </c>
    </row>
    <row r="15" spans="1:6" x14ac:dyDescent="0.25">
      <c r="A15" s="1">
        <v>44830</v>
      </c>
      <c r="B15">
        <v>208</v>
      </c>
      <c r="C15">
        <f t="shared" si="0"/>
        <v>39</v>
      </c>
      <c r="D15">
        <f t="shared" si="1"/>
        <v>2022</v>
      </c>
      <c r="E15" t="str">
        <f t="shared" si="2"/>
        <v>39-я нед. 2022</v>
      </c>
    </row>
    <row r="16" spans="1:6" x14ac:dyDescent="0.25">
      <c r="A16" s="1">
        <v>44837</v>
      </c>
      <c r="B16">
        <v>207</v>
      </c>
      <c r="C16">
        <f t="shared" si="0"/>
        <v>40</v>
      </c>
      <c r="D16">
        <f t="shared" si="1"/>
        <v>2022</v>
      </c>
      <c r="E16" t="str">
        <f t="shared" si="2"/>
        <v>40-я нед. 2022</v>
      </c>
    </row>
    <row r="17" spans="1:5" x14ac:dyDescent="0.25">
      <c r="A17" s="1">
        <v>44844</v>
      </c>
      <c r="B17">
        <v>204</v>
      </c>
      <c r="C17">
        <f t="shared" si="0"/>
        <v>41</v>
      </c>
      <c r="D17">
        <f t="shared" si="1"/>
        <v>2022</v>
      </c>
      <c r="E17" t="str">
        <f t="shared" si="2"/>
        <v>41-я нед. 2022</v>
      </c>
    </row>
    <row r="18" spans="1:5" x14ac:dyDescent="0.25">
      <c r="A18" s="1">
        <v>44851</v>
      </c>
      <c r="B18">
        <v>201</v>
      </c>
      <c r="C18">
        <f t="shared" si="0"/>
        <v>42</v>
      </c>
      <c r="D18">
        <f t="shared" si="1"/>
        <v>2022</v>
      </c>
      <c r="E18" t="str">
        <f t="shared" si="2"/>
        <v>42-я нед. 2022</v>
      </c>
    </row>
    <row r="19" spans="1:5" x14ac:dyDescent="0.25">
      <c r="A19" s="1">
        <v>44858</v>
      </c>
      <c r="B19">
        <v>213</v>
      </c>
      <c r="C19">
        <f t="shared" si="0"/>
        <v>43</v>
      </c>
      <c r="D19">
        <f t="shared" si="1"/>
        <v>2022</v>
      </c>
      <c r="E19" t="str">
        <f t="shared" si="2"/>
        <v>43-я нед. 2022</v>
      </c>
    </row>
    <row r="20" spans="1:5" x14ac:dyDescent="0.25">
      <c r="A20" s="1">
        <v>44865</v>
      </c>
      <c r="B20">
        <v>214</v>
      </c>
      <c r="C20">
        <f t="shared" si="0"/>
        <v>44</v>
      </c>
      <c r="D20">
        <f t="shared" si="1"/>
        <v>2022</v>
      </c>
      <c r="E20" t="str">
        <f t="shared" si="2"/>
        <v>44-я нед. 2022</v>
      </c>
    </row>
    <row r="21" spans="1:5" x14ac:dyDescent="0.25">
      <c r="A21" s="1">
        <v>44872</v>
      </c>
      <c r="B21">
        <v>203</v>
      </c>
      <c r="C21">
        <f t="shared" si="0"/>
        <v>45</v>
      </c>
      <c r="D21">
        <f t="shared" si="1"/>
        <v>2022</v>
      </c>
      <c r="E21" t="str">
        <f t="shared" si="2"/>
        <v>45-я нед. 2022</v>
      </c>
    </row>
    <row r="22" spans="1:5" x14ac:dyDescent="0.25">
      <c r="A22" s="1">
        <v>44879</v>
      </c>
      <c r="B22">
        <v>202</v>
      </c>
      <c r="C22">
        <f t="shared" si="0"/>
        <v>46</v>
      </c>
      <c r="D22">
        <f t="shared" si="1"/>
        <v>2022</v>
      </c>
      <c r="E22" t="str">
        <f t="shared" si="2"/>
        <v>46-я нед. 2022</v>
      </c>
    </row>
    <row r="23" spans="1:5" x14ac:dyDescent="0.25">
      <c r="A23" s="1">
        <v>44886</v>
      </c>
      <c r="B23">
        <v>167</v>
      </c>
      <c r="C23">
        <f t="shared" si="0"/>
        <v>47</v>
      </c>
      <c r="D23">
        <f t="shared" si="1"/>
        <v>2022</v>
      </c>
      <c r="E23" t="str">
        <f t="shared" si="2"/>
        <v>47-я нед. 2022</v>
      </c>
    </row>
    <row r="24" spans="1:5" x14ac:dyDescent="0.25">
      <c r="A24" s="1">
        <v>44893</v>
      </c>
      <c r="B24">
        <v>157</v>
      </c>
      <c r="C24">
        <f t="shared" si="0"/>
        <v>48</v>
      </c>
      <c r="D24">
        <f t="shared" si="1"/>
        <v>2022</v>
      </c>
      <c r="E24" t="str">
        <f t="shared" si="2"/>
        <v>48-я нед. 2022</v>
      </c>
    </row>
    <row r="25" spans="1:5" x14ac:dyDescent="0.25">
      <c r="A25" s="1">
        <v>44900</v>
      </c>
      <c r="B25">
        <v>156</v>
      </c>
      <c r="C25">
        <f t="shared" si="0"/>
        <v>49</v>
      </c>
      <c r="D25">
        <f t="shared" si="1"/>
        <v>2022</v>
      </c>
      <c r="E25" t="str">
        <f t="shared" si="2"/>
        <v>49-я нед. 2022</v>
      </c>
    </row>
    <row r="26" spans="1:5" x14ac:dyDescent="0.25">
      <c r="A26" s="1">
        <v>44907</v>
      </c>
      <c r="B26">
        <v>153</v>
      </c>
      <c r="C26">
        <f t="shared" si="0"/>
        <v>50</v>
      </c>
      <c r="D26">
        <f t="shared" si="1"/>
        <v>2022</v>
      </c>
      <c r="E26" t="str">
        <f t="shared" si="2"/>
        <v>50-я нед. 2022</v>
      </c>
    </row>
    <row r="27" spans="1:5" x14ac:dyDescent="0.25">
      <c r="A27" s="1">
        <v>44914</v>
      </c>
      <c r="B27">
        <v>145</v>
      </c>
      <c r="C27">
        <f t="shared" si="0"/>
        <v>51</v>
      </c>
      <c r="D27">
        <f t="shared" si="1"/>
        <v>2022</v>
      </c>
      <c r="E27" t="str">
        <f t="shared" si="2"/>
        <v>51-я нед. 2022</v>
      </c>
    </row>
    <row r="28" spans="1:5" x14ac:dyDescent="0.25">
      <c r="A28" s="1">
        <v>44921</v>
      </c>
      <c r="B28">
        <v>141</v>
      </c>
      <c r="C28">
        <f t="shared" si="0"/>
        <v>52</v>
      </c>
      <c r="D28">
        <f t="shared" si="1"/>
        <v>2022</v>
      </c>
      <c r="E28" t="str">
        <f t="shared" si="2"/>
        <v>52-я нед. 2022</v>
      </c>
    </row>
    <row r="29" spans="1:5" x14ac:dyDescent="0.25">
      <c r="A29" s="1">
        <v>44928</v>
      </c>
      <c r="B29">
        <v>190</v>
      </c>
      <c r="C29">
        <f t="shared" si="0"/>
        <v>1</v>
      </c>
      <c r="D29">
        <f t="shared" si="1"/>
        <v>2023</v>
      </c>
      <c r="E29" t="str">
        <f t="shared" si="2"/>
        <v>1-я нед. 2023</v>
      </c>
    </row>
    <row r="30" spans="1:5" x14ac:dyDescent="0.25">
      <c r="A30" s="1">
        <v>44935</v>
      </c>
      <c r="B30">
        <v>233</v>
      </c>
      <c r="C30">
        <f t="shared" si="0"/>
        <v>2</v>
      </c>
      <c r="D30">
        <f t="shared" si="1"/>
        <v>2023</v>
      </c>
      <c r="E30" t="str">
        <f t="shared" si="2"/>
        <v>2-я нед. 2023</v>
      </c>
    </row>
    <row r="31" spans="1:5" x14ac:dyDescent="0.25">
      <c r="A31" s="1">
        <v>44942</v>
      </c>
      <c r="B31">
        <v>272</v>
      </c>
      <c r="C31">
        <f t="shared" si="0"/>
        <v>3</v>
      </c>
      <c r="D31">
        <f t="shared" si="1"/>
        <v>2023</v>
      </c>
      <c r="E31" t="str">
        <f t="shared" si="2"/>
        <v>3-я нед. 2023</v>
      </c>
    </row>
    <row r="32" spans="1:5" x14ac:dyDescent="0.25">
      <c r="A32" s="1">
        <v>44949</v>
      </c>
      <c r="B32">
        <v>295</v>
      </c>
      <c r="C32">
        <f t="shared" si="0"/>
        <v>4</v>
      </c>
      <c r="D32">
        <f t="shared" si="1"/>
        <v>2023</v>
      </c>
      <c r="E32" t="str">
        <f t="shared" si="2"/>
        <v>4-я нед. 2023</v>
      </c>
    </row>
    <row r="33" spans="1:5" x14ac:dyDescent="0.25">
      <c r="A33" s="1">
        <v>44956</v>
      </c>
      <c r="B33">
        <v>346</v>
      </c>
      <c r="C33">
        <f t="shared" si="0"/>
        <v>5</v>
      </c>
      <c r="D33">
        <f t="shared" si="1"/>
        <v>2023</v>
      </c>
      <c r="E33" t="str">
        <f t="shared" si="2"/>
        <v>5-я нед. 2023</v>
      </c>
    </row>
    <row r="34" spans="1:5" x14ac:dyDescent="0.25">
      <c r="A34" s="1">
        <v>44963</v>
      </c>
      <c r="B34">
        <v>340</v>
      </c>
      <c r="C34">
        <f t="shared" si="0"/>
        <v>6</v>
      </c>
      <c r="D34">
        <f t="shared" si="1"/>
        <v>2023</v>
      </c>
      <c r="E34" t="str">
        <f t="shared" si="2"/>
        <v>6-я нед. 2023</v>
      </c>
    </row>
    <row r="35" spans="1:5" x14ac:dyDescent="0.25">
      <c r="A35" s="1">
        <v>44970</v>
      </c>
      <c r="B35">
        <v>347</v>
      </c>
      <c r="C35">
        <f t="shared" si="0"/>
        <v>7</v>
      </c>
      <c r="D35">
        <f t="shared" si="1"/>
        <v>2023</v>
      </c>
      <c r="E35" t="str">
        <f t="shared" si="2"/>
        <v>7-я нед. 2023</v>
      </c>
    </row>
    <row r="36" spans="1:5" x14ac:dyDescent="0.25">
      <c r="A36" s="1">
        <v>44977</v>
      </c>
      <c r="B36">
        <v>384</v>
      </c>
      <c r="C36">
        <f t="shared" si="0"/>
        <v>8</v>
      </c>
      <c r="D36">
        <f t="shared" si="1"/>
        <v>2023</v>
      </c>
      <c r="E36" t="str">
        <f t="shared" si="2"/>
        <v>8-я нед. 2023</v>
      </c>
    </row>
    <row r="37" spans="1:5" x14ac:dyDescent="0.25">
      <c r="A37" s="1">
        <v>44984</v>
      </c>
      <c r="B37">
        <v>611</v>
      </c>
      <c r="C37">
        <f t="shared" si="0"/>
        <v>9</v>
      </c>
      <c r="D37">
        <f t="shared" si="1"/>
        <v>2023</v>
      </c>
      <c r="E37" t="str">
        <f t="shared" si="2"/>
        <v>9-я нед. 2023</v>
      </c>
    </row>
    <row r="38" spans="1:5" x14ac:dyDescent="0.25">
      <c r="A38" s="1">
        <v>44991</v>
      </c>
      <c r="B38">
        <v>712</v>
      </c>
      <c r="C38">
        <f t="shared" si="0"/>
        <v>10</v>
      </c>
      <c r="D38">
        <f t="shared" si="1"/>
        <v>2023</v>
      </c>
      <c r="E38" t="str">
        <f t="shared" si="2"/>
        <v>10-я нед. 2023</v>
      </c>
    </row>
    <row r="39" spans="1:5" x14ac:dyDescent="0.25">
      <c r="A39" s="1">
        <v>44998</v>
      </c>
      <c r="B39">
        <v>772</v>
      </c>
      <c r="C39">
        <f t="shared" si="0"/>
        <v>11</v>
      </c>
      <c r="D39">
        <f t="shared" si="1"/>
        <v>2023</v>
      </c>
      <c r="E39" t="str">
        <f t="shared" si="2"/>
        <v>11-я нед. 2023</v>
      </c>
    </row>
    <row r="40" spans="1:5" x14ac:dyDescent="0.25">
      <c r="A40" s="1">
        <v>45005</v>
      </c>
      <c r="B40">
        <v>656</v>
      </c>
      <c r="C40">
        <f t="shared" si="0"/>
        <v>12</v>
      </c>
      <c r="D40">
        <f t="shared" si="1"/>
        <v>2023</v>
      </c>
      <c r="E40" t="str">
        <f>CONCATENATE(C40,"-я нед. ",D40)</f>
        <v>12-я нед. 2023</v>
      </c>
    </row>
    <row r="41" spans="1:5" x14ac:dyDescent="0.25">
      <c r="A41" s="1">
        <v>45012</v>
      </c>
      <c r="B41">
        <v>661</v>
      </c>
      <c r="C41">
        <f t="shared" si="0"/>
        <v>13</v>
      </c>
      <c r="D41">
        <f t="shared" si="1"/>
        <v>2023</v>
      </c>
      <c r="E41" t="str">
        <f t="shared" si="2"/>
        <v>13-я нед. 2023</v>
      </c>
    </row>
    <row r="42" spans="1:5" x14ac:dyDescent="0.25">
      <c r="A42" s="1">
        <v>45019</v>
      </c>
      <c r="B42">
        <v>699</v>
      </c>
      <c r="C42">
        <f t="shared" si="0"/>
        <v>14</v>
      </c>
      <c r="D42">
        <f t="shared" si="1"/>
        <v>2023</v>
      </c>
      <c r="E42" t="str">
        <f t="shared" si="2"/>
        <v>14-я нед. 2023</v>
      </c>
    </row>
    <row r="43" spans="1:5" x14ac:dyDescent="0.25">
      <c r="A43" s="1">
        <v>45026</v>
      </c>
      <c r="B43">
        <v>614</v>
      </c>
      <c r="C43">
        <f t="shared" si="0"/>
        <v>15</v>
      </c>
      <c r="D43">
        <f t="shared" si="1"/>
        <v>2023</v>
      </c>
      <c r="E43" t="str">
        <f t="shared" si="2"/>
        <v>15-я нед. 2023</v>
      </c>
    </row>
    <row r="44" spans="1:5" x14ac:dyDescent="0.25">
      <c r="A44" s="1">
        <v>45033</v>
      </c>
      <c r="B44">
        <v>545</v>
      </c>
      <c r="C44">
        <f t="shared" si="0"/>
        <v>16</v>
      </c>
      <c r="D44">
        <f t="shared" si="1"/>
        <v>2023</v>
      </c>
      <c r="E44" t="str">
        <f t="shared" si="2"/>
        <v>16-я нед. 2023</v>
      </c>
    </row>
    <row r="45" spans="1:5" x14ac:dyDescent="0.25">
      <c r="A45" s="1">
        <v>45040</v>
      </c>
      <c r="B45">
        <v>422</v>
      </c>
      <c r="C45">
        <f t="shared" si="0"/>
        <v>17</v>
      </c>
      <c r="D45">
        <f t="shared" si="1"/>
        <v>2023</v>
      </c>
      <c r="E45" t="str">
        <f t="shared" si="2"/>
        <v>17-я нед. 2023</v>
      </c>
    </row>
  </sheetData>
  <dataConsolidate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AA464-4759-4BA0-8AD4-649518D02E3F}">
  <dimension ref="A1:B304"/>
  <sheetViews>
    <sheetView workbookViewId="0">
      <selection activeCell="E19" sqref="E19"/>
    </sheetView>
  </sheetViews>
  <sheetFormatPr defaultRowHeight="15" x14ac:dyDescent="0.25"/>
  <cols>
    <col min="1" max="1" width="14.28515625" bestFit="1" customWidth="1"/>
  </cols>
  <sheetData>
    <row r="1" spans="1:2" x14ac:dyDescent="0.25">
      <c r="A1" t="s">
        <v>7</v>
      </c>
      <c r="B1" t="s">
        <v>6</v>
      </c>
    </row>
    <row r="2" spans="1:2" x14ac:dyDescent="0.25">
      <c r="A2" s="1">
        <v>44744</v>
      </c>
      <c r="B2">
        <v>3</v>
      </c>
    </row>
    <row r="3" spans="1:2" x14ac:dyDescent="0.25">
      <c r="A3" s="1">
        <v>44745</v>
      </c>
      <c r="B3">
        <v>6</v>
      </c>
    </row>
    <row r="4" spans="1:2" x14ac:dyDescent="0.25">
      <c r="A4" s="1">
        <v>44746</v>
      </c>
      <c r="B4">
        <v>5</v>
      </c>
    </row>
    <row r="5" spans="1:2" x14ac:dyDescent="0.25">
      <c r="A5" s="1">
        <v>44747</v>
      </c>
      <c r="B5">
        <v>10</v>
      </c>
    </row>
    <row r="6" spans="1:2" x14ac:dyDescent="0.25">
      <c r="A6" s="1">
        <v>44748</v>
      </c>
      <c r="B6">
        <v>5</v>
      </c>
    </row>
    <row r="7" spans="1:2" x14ac:dyDescent="0.25">
      <c r="A7" s="1">
        <v>44749</v>
      </c>
      <c r="B7">
        <v>13</v>
      </c>
    </row>
    <row r="8" spans="1:2" x14ac:dyDescent="0.25">
      <c r="A8" s="1">
        <v>44750</v>
      </c>
      <c r="B8">
        <v>22</v>
      </c>
    </row>
    <row r="9" spans="1:2" x14ac:dyDescent="0.25">
      <c r="A9" s="1">
        <v>44751</v>
      </c>
      <c r="B9">
        <v>22</v>
      </c>
    </row>
    <row r="10" spans="1:2" x14ac:dyDescent="0.25">
      <c r="A10" s="1">
        <v>44752</v>
      </c>
      <c r="B10">
        <v>26</v>
      </c>
    </row>
    <row r="11" spans="1:2" x14ac:dyDescent="0.25">
      <c r="A11" s="1">
        <v>44753</v>
      </c>
      <c r="B11">
        <v>23</v>
      </c>
    </row>
    <row r="12" spans="1:2" x14ac:dyDescent="0.25">
      <c r="A12" s="1">
        <v>44754</v>
      </c>
      <c r="B12">
        <v>24</v>
      </c>
    </row>
    <row r="13" spans="1:2" x14ac:dyDescent="0.25">
      <c r="A13" s="1">
        <v>44755</v>
      </c>
      <c r="B13">
        <v>30</v>
      </c>
    </row>
    <row r="14" spans="1:2" x14ac:dyDescent="0.25">
      <c r="A14" s="1">
        <v>44756</v>
      </c>
      <c r="B14">
        <v>32</v>
      </c>
    </row>
    <row r="15" spans="1:2" x14ac:dyDescent="0.25">
      <c r="A15" s="1">
        <v>44757</v>
      </c>
      <c r="B15">
        <v>25</v>
      </c>
    </row>
    <row r="16" spans="1:2" x14ac:dyDescent="0.25">
      <c r="A16" s="1">
        <v>44758</v>
      </c>
      <c r="B16">
        <v>34</v>
      </c>
    </row>
    <row r="17" spans="1:2" x14ac:dyDescent="0.25">
      <c r="A17" s="1">
        <v>44759</v>
      </c>
      <c r="B17">
        <v>39</v>
      </c>
    </row>
    <row r="18" spans="1:2" x14ac:dyDescent="0.25">
      <c r="A18" s="1">
        <v>44760</v>
      </c>
      <c r="B18">
        <v>22</v>
      </c>
    </row>
    <row r="19" spans="1:2" x14ac:dyDescent="0.25">
      <c r="A19" s="1">
        <v>44761</v>
      </c>
      <c r="B19">
        <v>38</v>
      </c>
    </row>
    <row r="20" spans="1:2" x14ac:dyDescent="0.25">
      <c r="A20" s="1">
        <v>44762</v>
      </c>
      <c r="B20">
        <v>34</v>
      </c>
    </row>
    <row r="21" spans="1:2" x14ac:dyDescent="0.25">
      <c r="A21" s="1">
        <v>44763</v>
      </c>
      <c r="B21">
        <v>50</v>
      </c>
    </row>
    <row r="22" spans="1:2" x14ac:dyDescent="0.25">
      <c r="A22" s="1">
        <v>44764</v>
      </c>
      <c r="B22">
        <v>43</v>
      </c>
    </row>
    <row r="23" spans="1:2" x14ac:dyDescent="0.25">
      <c r="A23" s="1">
        <v>44765</v>
      </c>
      <c r="B23">
        <v>43</v>
      </c>
    </row>
    <row r="24" spans="1:2" x14ac:dyDescent="0.25">
      <c r="A24" s="1">
        <v>44766</v>
      </c>
      <c r="B24">
        <v>53</v>
      </c>
    </row>
    <row r="25" spans="1:2" x14ac:dyDescent="0.25">
      <c r="A25" s="1">
        <v>44767</v>
      </c>
      <c r="B25">
        <v>63</v>
      </c>
    </row>
    <row r="26" spans="1:2" x14ac:dyDescent="0.25">
      <c r="A26" s="1">
        <v>44768</v>
      </c>
      <c r="B26">
        <v>48</v>
      </c>
    </row>
    <row r="27" spans="1:2" x14ac:dyDescent="0.25">
      <c r="A27" s="1">
        <v>44769</v>
      </c>
      <c r="B27">
        <v>59</v>
      </c>
    </row>
    <row r="28" spans="1:2" x14ac:dyDescent="0.25">
      <c r="A28" s="1">
        <v>44770</v>
      </c>
      <c r="B28">
        <v>59</v>
      </c>
    </row>
    <row r="29" spans="1:2" x14ac:dyDescent="0.25">
      <c r="A29" s="1">
        <v>44771</v>
      </c>
      <c r="B29">
        <v>61</v>
      </c>
    </row>
    <row r="30" spans="1:2" x14ac:dyDescent="0.25">
      <c r="A30" s="1">
        <v>44772</v>
      </c>
      <c r="B30">
        <v>64</v>
      </c>
    </row>
    <row r="31" spans="1:2" x14ac:dyDescent="0.25">
      <c r="A31" s="1">
        <v>44773</v>
      </c>
      <c r="B31">
        <v>64</v>
      </c>
    </row>
    <row r="32" spans="1:2" x14ac:dyDescent="0.25">
      <c r="A32" s="1">
        <v>44774</v>
      </c>
      <c r="B32">
        <v>52</v>
      </c>
    </row>
    <row r="33" spans="1:2" x14ac:dyDescent="0.25">
      <c r="A33" s="1">
        <v>44775</v>
      </c>
      <c r="B33">
        <v>62</v>
      </c>
    </row>
    <row r="34" spans="1:2" x14ac:dyDescent="0.25">
      <c r="A34" s="1">
        <v>44776</v>
      </c>
      <c r="B34">
        <v>55</v>
      </c>
    </row>
    <row r="35" spans="1:2" x14ac:dyDescent="0.25">
      <c r="A35" s="1">
        <v>44777</v>
      </c>
      <c r="B35">
        <v>60</v>
      </c>
    </row>
    <row r="36" spans="1:2" x14ac:dyDescent="0.25">
      <c r="A36" s="1">
        <v>44778</v>
      </c>
      <c r="B36">
        <v>52</v>
      </c>
    </row>
    <row r="37" spans="1:2" x14ac:dyDescent="0.25">
      <c r="A37" s="1">
        <v>44779</v>
      </c>
      <c r="B37">
        <v>62</v>
      </c>
    </row>
    <row r="38" spans="1:2" x14ac:dyDescent="0.25">
      <c r="A38" s="1">
        <v>44780</v>
      </c>
      <c r="B38">
        <v>59</v>
      </c>
    </row>
    <row r="39" spans="1:2" x14ac:dyDescent="0.25">
      <c r="A39" s="1">
        <v>44781</v>
      </c>
      <c r="B39">
        <v>58</v>
      </c>
    </row>
    <row r="40" spans="1:2" x14ac:dyDescent="0.25">
      <c r="A40" s="1">
        <v>44782</v>
      </c>
      <c r="B40">
        <v>53</v>
      </c>
    </row>
    <row r="41" spans="1:2" x14ac:dyDescent="0.25">
      <c r="A41" s="1">
        <v>44783</v>
      </c>
      <c r="B41">
        <v>55</v>
      </c>
    </row>
    <row r="42" spans="1:2" x14ac:dyDescent="0.25">
      <c r="A42" s="1">
        <v>44784</v>
      </c>
      <c r="B42">
        <v>65</v>
      </c>
    </row>
    <row r="43" spans="1:2" x14ac:dyDescent="0.25">
      <c r="A43" s="1">
        <v>44785</v>
      </c>
      <c r="B43">
        <v>54</v>
      </c>
    </row>
    <row r="44" spans="1:2" x14ac:dyDescent="0.25">
      <c r="A44" s="1">
        <v>44786</v>
      </c>
      <c r="B44">
        <v>74</v>
      </c>
    </row>
    <row r="45" spans="1:2" x14ac:dyDescent="0.25">
      <c r="A45" s="1">
        <v>44787</v>
      </c>
      <c r="B45">
        <v>59</v>
      </c>
    </row>
    <row r="46" spans="1:2" x14ac:dyDescent="0.25">
      <c r="A46" s="1">
        <v>44788</v>
      </c>
      <c r="B46">
        <v>54</v>
      </c>
    </row>
    <row r="47" spans="1:2" x14ac:dyDescent="0.25">
      <c r="A47" s="1">
        <v>44789</v>
      </c>
      <c r="B47">
        <v>68</v>
      </c>
    </row>
    <row r="48" spans="1:2" x14ac:dyDescent="0.25">
      <c r="A48" s="1">
        <v>44790</v>
      </c>
      <c r="B48">
        <v>59</v>
      </c>
    </row>
    <row r="49" spans="1:2" x14ac:dyDescent="0.25">
      <c r="A49" s="1">
        <v>44791</v>
      </c>
      <c r="B49">
        <v>61</v>
      </c>
    </row>
    <row r="50" spans="1:2" x14ac:dyDescent="0.25">
      <c r="A50" s="1">
        <v>44792</v>
      </c>
      <c r="B50">
        <v>58</v>
      </c>
    </row>
    <row r="51" spans="1:2" x14ac:dyDescent="0.25">
      <c r="A51" s="1">
        <v>44793</v>
      </c>
      <c r="B51">
        <v>67</v>
      </c>
    </row>
    <row r="52" spans="1:2" x14ac:dyDescent="0.25">
      <c r="A52" s="1">
        <v>44794</v>
      </c>
      <c r="B52">
        <v>62</v>
      </c>
    </row>
    <row r="53" spans="1:2" x14ac:dyDescent="0.25">
      <c r="A53" s="1">
        <v>44795</v>
      </c>
      <c r="B53">
        <v>53</v>
      </c>
    </row>
    <row r="54" spans="1:2" x14ac:dyDescent="0.25">
      <c r="A54" s="1">
        <v>44796</v>
      </c>
      <c r="B54">
        <v>60</v>
      </c>
    </row>
    <row r="55" spans="1:2" x14ac:dyDescent="0.25">
      <c r="A55" s="1">
        <v>44797</v>
      </c>
      <c r="B55">
        <v>67</v>
      </c>
    </row>
    <row r="56" spans="1:2" x14ac:dyDescent="0.25">
      <c r="A56" s="1">
        <v>44798</v>
      </c>
      <c r="B56">
        <v>67</v>
      </c>
    </row>
    <row r="57" spans="1:2" x14ac:dyDescent="0.25">
      <c r="A57" s="1">
        <v>44799</v>
      </c>
      <c r="B57">
        <v>61</v>
      </c>
    </row>
    <row r="58" spans="1:2" x14ac:dyDescent="0.25">
      <c r="A58" s="1">
        <v>44800</v>
      </c>
      <c r="B58">
        <v>63</v>
      </c>
    </row>
    <row r="59" spans="1:2" x14ac:dyDescent="0.25">
      <c r="A59" s="1">
        <v>44801</v>
      </c>
      <c r="B59">
        <v>61</v>
      </c>
    </row>
    <row r="60" spans="1:2" x14ac:dyDescent="0.25">
      <c r="A60" s="1">
        <v>44802</v>
      </c>
      <c r="B60">
        <v>54</v>
      </c>
    </row>
    <row r="61" spans="1:2" x14ac:dyDescent="0.25">
      <c r="A61" s="1">
        <v>44803</v>
      </c>
      <c r="B61">
        <v>72</v>
      </c>
    </row>
    <row r="62" spans="1:2" x14ac:dyDescent="0.25">
      <c r="A62" s="1">
        <v>44804</v>
      </c>
      <c r="B62">
        <v>54</v>
      </c>
    </row>
    <row r="63" spans="1:2" x14ac:dyDescent="0.25">
      <c r="A63" s="1">
        <v>44805</v>
      </c>
      <c r="B63">
        <v>66</v>
      </c>
    </row>
    <row r="64" spans="1:2" x14ac:dyDescent="0.25">
      <c r="A64" s="1">
        <v>44806</v>
      </c>
      <c r="B64">
        <v>61</v>
      </c>
    </row>
    <row r="65" spans="1:2" x14ac:dyDescent="0.25">
      <c r="A65" s="1">
        <v>44807</v>
      </c>
      <c r="B65">
        <v>58</v>
      </c>
    </row>
    <row r="66" spans="1:2" x14ac:dyDescent="0.25">
      <c r="A66" s="1">
        <v>44808</v>
      </c>
      <c r="B66">
        <v>64</v>
      </c>
    </row>
    <row r="67" spans="1:2" x14ac:dyDescent="0.25">
      <c r="A67" s="1">
        <v>44809</v>
      </c>
      <c r="B67">
        <v>62</v>
      </c>
    </row>
    <row r="68" spans="1:2" x14ac:dyDescent="0.25">
      <c r="A68" s="1">
        <v>44810</v>
      </c>
      <c r="B68">
        <v>46</v>
      </c>
    </row>
    <row r="69" spans="1:2" x14ac:dyDescent="0.25">
      <c r="A69" s="1">
        <v>44811</v>
      </c>
      <c r="B69">
        <v>49</v>
      </c>
    </row>
    <row r="70" spans="1:2" x14ac:dyDescent="0.25">
      <c r="A70" s="1">
        <v>44812</v>
      </c>
      <c r="B70">
        <v>59</v>
      </c>
    </row>
    <row r="71" spans="1:2" x14ac:dyDescent="0.25">
      <c r="A71" s="1">
        <v>44813</v>
      </c>
      <c r="B71">
        <v>60</v>
      </c>
    </row>
    <row r="72" spans="1:2" x14ac:dyDescent="0.25">
      <c r="A72" s="1">
        <v>44814</v>
      </c>
      <c r="B72">
        <v>53</v>
      </c>
    </row>
    <row r="73" spans="1:2" x14ac:dyDescent="0.25">
      <c r="A73" s="1">
        <v>44815</v>
      </c>
      <c r="B73">
        <v>61</v>
      </c>
    </row>
    <row r="74" spans="1:2" x14ac:dyDescent="0.25">
      <c r="A74" s="1">
        <v>44816</v>
      </c>
      <c r="B74">
        <v>58</v>
      </c>
    </row>
    <row r="75" spans="1:2" x14ac:dyDescent="0.25">
      <c r="A75" s="1">
        <v>44817</v>
      </c>
      <c r="B75">
        <v>64</v>
      </c>
    </row>
    <row r="76" spans="1:2" x14ac:dyDescent="0.25">
      <c r="A76" s="1">
        <v>44818</v>
      </c>
      <c r="B76">
        <v>65</v>
      </c>
    </row>
    <row r="77" spans="1:2" x14ac:dyDescent="0.25">
      <c r="A77" s="1">
        <v>44819</v>
      </c>
      <c r="B77">
        <v>74</v>
      </c>
    </row>
    <row r="78" spans="1:2" x14ac:dyDescent="0.25">
      <c r="A78" s="1">
        <v>44820</v>
      </c>
      <c r="B78">
        <v>58</v>
      </c>
    </row>
    <row r="79" spans="1:2" x14ac:dyDescent="0.25">
      <c r="A79" s="1">
        <v>44821</v>
      </c>
      <c r="B79">
        <v>62</v>
      </c>
    </row>
    <row r="80" spans="1:2" x14ac:dyDescent="0.25">
      <c r="A80" s="1">
        <v>44822</v>
      </c>
      <c r="B80">
        <v>69</v>
      </c>
    </row>
    <row r="81" spans="1:2" x14ac:dyDescent="0.25">
      <c r="A81" s="1">
        <v>44823</v>
      </c>
      <c r="B81">
        <v>66</v>
      </c>
    </row>
    <row r="82" spans="1:2" x14ac:dyDescent="0.25">
      <c r="A82" s="1">
        <v>44824</v>
      </c>
      <c r="B82">
        <v>67</v>
      </c>
    </row>
    <row r="83" spans="1:2" x14ac:dyDescent="0.25">
      <c r="A83" s="1">
        <v>44825</v>
      </c>
      <c r="B83">
        <v>71</v>
      </c>
    </row>
    <row r="84" spans="1:2" x14ac:dyDescent="0.25">
      <c r="A84" s="1">
        <v>44826</v>
      </c>
      <c r="B84">
        <v>67</v>
      </c>
    </row>
    <row r="85" spans="1:2" x14ac:dyDescent="0.25">
      <c r="A85" s="1">
        <v>44827</v>
      </c>
      <c r="B85">
        <v>55</v>
      </c>
    </row>
    <row r="86" spans="1:2" x14ac:dyDescent="0.25">
      <c r="A86" s="1">
        <v>44828</v>
      </c>
      <c r="B86">
        <v>58</v>
      </c>
    </row>
    <row r="87" spans="1:2" x14ac:dyDescent="0.25">
      <c r="A87" s="1">
        <v>44829</v>
      </c>
      <c r="B87">
        <v>73</v>
      </c>
    </row>
    <row r="88" spans="1:2" x14ac:dyDescent="0.25">
      <c r="A88" s="1">
        <v>44830</v>
      </c>
      <c r="B88">
        <v>58</v>
      </c>
    </row>
    <row r="89" spans="1:2" x14ac:dyDescent="0.25">
      <c r="A89" s="1">
        <v>44831</v>
      </c>
      <c r="B89">
        <v>76</v>
      </c>
    </row>
    <row r="90" spans="1:2" x14ac:dyDescent="0.25">
      <c r="A90" s="1">
        <v>44832</v>
      </c>
      <c r="B90">
        <v>62</v>
      </c>
    </row>
    <row r="91" spans="1:2" x14ac:dyDescent="0.25">
      <c r="A91" s="1">
        <v>44833</v>
      </c>
      <c r="B91">
        <v>66</v>
      </c>
    </row>
    <row r="92" spans="1:2" x14ac:dyDescent="0.25">
      <c r="A92" s="1">
        <v>44834</v>
      </c>
      <c r="B92">
        <v>59</v>
      </c>
    </row>
    <row r="93" spans="1:2" x14ac:dyDescent="0.25">
      <c r="A93" s="1">
        <v>44835</v>
      </c>
      <c r="B93">
        <v>61</v>
      </c>
    </row>
    <row r="94" spans="1:2" x14ac:dyDescent="0.25">
      <c r="A94" s="1">
        <v>44836</v>
      </c>
      <c r="B94">
        <v>52</v>
      </c>
    </row>
    <row r="95" spans="1:2" x14ac:dyDescent="0.25">
      <c r="A95" s="1">
        <v>44837</v>
      </c>
      <c r="B95">
        <v>69</v>
      </c>
    </row>
    <row r="96" spans="1:2" x14ac:dyDescent="0.25">
      <c r="A96" s="1">
        <v>44838</v>
      </c>
      <c r="B96">
        <v>70</v>
      </c>
    </row>
    <row r="97" spans="1:2" x14ac:dyDescent="0.25">
      <c r="A97" s="1">
        <v>44839</v>
      </c>
      <c r="B97">
        <v>45</v>
      </c>
    </row>
    <row r="98" spans="1:2" x14ac:dyDescent="0.25">
      <c r="A98" s="1">
        <v>44840</v>
      </c>
      <c r="B98">
        <v>77</v>
      </c>
    </row>
    <row r="99" spans="1:2" x14ac:dyDescent="0.25">
      <c r="A99" s="1">
        <v>44841</v>
      </c>
      <c r="B99">
        <v>61</v>
      </c>
    </row>
    <row r="100" spans="1:2" x14ac:dyDescent="0.25">
      <c r="A100" s="1">
        <v>44842</v>
      </c>
      <c r="B100">
        <v>56</v>
      </c>
    </row>
    <row r="101" spans="1:2" x14ac:dyDescent="0.25">
      <c r="A101" s="1">
        <v>44843</v>
      </c>
      <c r="B101">
        <v>66</v>
      </c>
    </row>
    <row r="102" spans="1:2" x14ac:dyDescent="0.25">
      <c r="A102" s="1">
        <v>44844</v>
      </c>
      <c r="B102">
        <v>51</v>
      </c>
    </row>
    <row r="103" spans="1:2" x14ac:dyDescent="0.25">
      <c r="A103" s="1">
        <v>44845</v>
      </c>
      <c r="B103">
        <v>59</v>
      </c>
    </row>
    <row r="104" spans="1:2" x14ac:dyDescent="0.25">
      <c r="A104" s="1">
        <v>44846</v>
      </c>
      <c r="B104">
        <v>65</v>
      </c>
    </row>
    <row r="105" spans="1:2" x14ac:dyDescent="0.25">
      <c r="A105" s="1">
        <v>44847</v>
      </c>
      <c r="B105">
        <v>53</v>
      </c>
    </row>
    <row r="106" spans="1:2" x14ac:dyDescent="0.25">
      <c r="A106" s="1">
        <v>44848</v>
      </c>
      <c r="B106">
        <v>72</v>
      </c>
    </row>
    <row r="107" spans="1:2" x14ac:dyDescent="0.25">
      <c r="A107" s="1">
        <v>44849</v>
      </c>
      <c r="B107">
        <v>62</v>
      </c>
    </row>
    <row r="108" spans="1:2" x14ac:dyDescent="0.25">
      <c r="A108" s="1">
        <v>44850</v>
      </c>
      <c r="B108">
        <v>62</v>
      </c>
    </row>
    <row r="109" spans="1:2" x14ac:dyDescent="0.25">
      <c r="A109" s="1">
        <v>44851</v>
      </c>
      <c r="B109">
        <v>70</v>
      </c>
    </row>
    <row r="110" spans="1:2" x14ac:dyDescent="0.25">
      <c r="A110" s="1">
        <v>44852</v>
      </c>
      <c r="B110">
        <v>62</v>
      </c>
    </row>
    <row r="111" spans="1:2" x14ac:dyDescent="0.25">
      <c r="A111" s="1">
        <v>44853</v>
      </c>
      <c r="B111">
        <v>82</v>
      </c>
    </row>
    <row r="112" spans="1:2" x14ac:dyDescent="0.25">
      <c r="A112" s="1">
        <v>44854</v>
      </c>
      <c r="B112">
        <v>52</v>
      </c>
    </row>
    <row r="113" spans="1:2" x14ac:dyDescent="0.25">
      <c r="A113" s="1">
        <v>44855</v>
      </c>
      <c r="B113">
        <v>65</v>
      </c>
    </row>
    <row r="114" spans="1:2" x14ac:dyDescent="0.25">
      <c r="A114" s="1">
        <v>44856</v>
      </c>
      <c r="B114">
        <v>64</v>
      </c>
    </row>
    <row r="115" spans="1:2" x14ac:dyDescent="0.25">
      <c r="A115" s="1">
        <v>44857</v>
      </c>
      <c r="B115">
        <v>57</v>
      </c>
    </row>
    <row r="116" spans="1:2" x14ac:dyDescent="0.25">
      <c r="A116" s="1">
        <v>44858</v>
      </c>
      <c r="B116">
        <v>58</v>
      </c>
    </row>
    <row r="117" spans="1:2" x14ac:dyDescent="0.25">
      <c r="A117" s="1">
        <v>44859</v>
      </c>
      <c r="B117">
        <v>66</v>
      </c>
    </row>
    <row r="118" spans="1:2" x14ac:dyDescent="0.25">
      <c r="A118" s="1">
        <v>44860</v>
      </c>
      <c r="B118">
        <v>60</v>
      </c>
    </row>
    <row r="119" spans="1:2" x14ac:dyDescent="0.25">
      <c r="A119" s="1">
        <v>44861</v>
      </c>
      <c r="B119">
        <v>55</v>
      </c>
    </row>
    <row r="120" spans="1:2" x14ac:dyDescent="0.25">
      <c r="A120" s="1">
        <v>44862</v>
      </c>
      <c r="B120">
        <v>65</v>
      </c>
    </row>
    <row r="121" spans="1:2" x14ac:dyDescent="0.25">
      <c r="A121" s="1">
        <v>44863</v>
      </c>
      <c r="B121">
        <v>54</v>
      </c>
    </row>
    <row r="122" spans="1:2" x14ac:dyDescent="0.25">
      <c r="A122" s="1">
        <v>44864</v>
      </c>
      <c r="B122">
        <v>66</v>
      </c>
    </row>
    <row r="123" spans="1:2" x14ac:dyDescent="0.25">
      <c r="A123" s="1">
        <v>44865</v>
      </c>
      <c r="B123">
        <v>72</v>
      </c>
    </row>
    <row r="124" spans="1:2" x14ac:dyDescent="0.25">
      <c r="A124" s="1">
        <v>44866</v>
      </c>
      <c r="B124">
        <v>58</v>
      </c>
    </row>
    <row r="125" spans="1:2" x14ac:dyDescent="0.25">
      <c r="A125" s="1">
        <v>44867</v>
      </c>
      <c r="B125">
        <v>55</v>
      </c>
    </row>
    <row r="126" spans="1:2" x14ac:dyDescent="0.25">
      <c r="A126" s="1">
        <v>44868</v>
      </c>
      <c r="B126">
        <v>56</v>
      </c>
    </row>
    <row r="127" spans="1:2" x14ac:dyDescent="0.25">
      <c r="A127" s="1">
        <v>44869</v>
      </c>
      <c r="B127">
        <v>63</v>
      </c>
    </row>
    <row r="128" spans="1:2" x14ac:dyDescent="0.25">
      <c r="A128" s="1">
        <v>44870</v>
      </c>
      <c r="B128">
        <v>69</v>
      </c>
    </row>
    <row r="129" spans="1:2" x14ac:dyDescent="0.25">
      <c r="A129" s="1">
        <v>44871</v>
      </c>
      <c r="B129">
        <v>62</v>
      </c>
    </row>
    <row r="130" spans="1:2" x14ac:dyDescent="0.25">
      <c r="A130" s="1">
        <v>44872</v>
      </c>
      <c r="B130">
        <v>60</v>
      </c>
    </row>
    <row r="131" spans="1:2" x14ac:dyDescent="0.25">
      <c r="A131" s="1">
        <v>44873</v>
      </c>
      <c r="B131">
        <v>60</v>
      </c>
    </row>
    <row r="132" spans="1:2" x14ac:dyDescent="0.25">
      <c r="A132" s="1">
        <v>44874</v>
      </c>
      <c r="B132">
        <v>60</v>
      </c>
    </row>
    <row r="133" spans="1:2" x14ac:dyDescent="0.25">
      <c r="A133" s="1">
        <v>44875</v>
      </c>
      <c r="B133">
        <v>55</v>
      </c>
    </row>
    <row r="134" spans="1:2" x14ac:dyDescent="0.25">
      <c r="A134" s="1">
        <v>44876</v>
      </c>
      <c r="B134">
        <v>62</v>
      </c>
    </row>
    <row r="135" spans="1:2" x14ac:dyDescent="0.25">
      <c r="A135" s="1">
        <v>44877</v>
      </c>
      <c r="B135">
        <v>53</v>
      </c>
    </row>
    <row r="136" spans="1:2" x14ac:dyDescent="0.25">
      <c r="A136" s="1">
        <v>44878</v>
      </c>
      <c r="B136">
        <v>54</v>
      </c>
    </row>
    <row r="137" spans="1:2" x14ac:dyDescent="0.25">
      <c r="A137" s="1">
        <v>44879</v>
      </c>
      <c r="B137">
        <v>46</v>
      </c>
    </row>
    <row r="138" spans="1:2" x14ac:dyDescent="0.25">
      <c r="A138" s="1">
        <v>44880</v>
      </c>
      <c r="B138">
        <v>55</v>
      </c>
    </row>
    <row r="139" spans="1:2" x14ac:dyDescent="0.25">
      <c r="A139" s="1">
        <v>44881</v>
      </c>
      <c r="B139">
        <v>51</v>
      </c>
    </row>
    <row r="140" spans="1:2" x14ac:dyDescent="0.25">
      <c r="A140" s="1">
        <v>44882</v>
      </c>
      <c r="B140">
        <v>58</v>
      </c>
    </row>
    <row r="141" spans="1:2" x14ac:dyDescent="0.25">
      <c r="A141" s="1">
        <v>44883</v>
      </c>
      <c r="B141">
        <v>51</v>
      </c>
    </row>
    <row r="142" spans="1:2" x14ac:dyDescent="0.25">
      <c r="A142" s="1">
        <v>44884</v>
      </c>
      <c r="B142">
        <v>40</v>
      </c>
    </row>
    <row r="143" spans="1:2" x14ac:dyDescent="0.25">
      <c r="A143" s="1">
        <v>44885</v>
      </c>
      <c r="B143">
        <v>50</v>
      </c>
    </row>
    <row r="144" spans="1:2" x14ac:dyDescent="0.25">
      <c r="A144" s="1">
        <v>44886</v>
      </c>
      <c r="B144">
        <v>34</v>
      </c>
    </row>
    <row r="145" spans="1:2" x14ac:dyDescent="0.25">
      <c r="A145" s="1">
        <v>44887</v>
      </c>
      <c r="B145">
        <v>41</v>
      </c>
    </row>
    <row r="146" spans="1:2" x14ac:dyDescent="0.25">
      <c r="A146" s="1">
        <v>44888</v>
      </c>
      <c r="B146">
        <v>39</v>
      </c>
    </row>
    <row r="147" spans="1:2" x14ac:dyDescent="0.25">
      <c r="A147" s="1">
        <v>44889</v>
      </c>
      <c r="B147">
        <v>32</v>
      </c>
    </row>
    <row r="148" spans="1:2" x14ac:dyDescent="0.25">
      <c r="A148" s="1">
        <v>44890</v>
      </c>
      <c r="B148">
        <v>32</v>
      </c>
    </row>
    <row r="149" spans="1:2" x14ac:dyDescent="0.25">
      <c r="A149" s="1">
        <v>44891</v>
      </c>
      <c r="B149">
        <v>31</v>
      </c>
    </row>
    <row r="150" spans="1:2" x14ac:dyDescent="0.25">
      <c r="A150" s="1">
        <v>44892</v>
      </c>
      <c r="B150">
        <v>35</v>
      </c>
    </row>
    <row r="151" spans="1:2" x14ac:dyDescent="0.25">
      <c r="A151" s="1">
        <v>44893</v>
      </c>
      <c r="B151">
        <v>32</v>
      </c>
    </row>
    <row r="152" spans="1:2" x14ac:dyDescent="0.25">
      <c r="A152" s="1">
        <v>44894</v>
      </c>
      <c r="B152">
        <v>23</v>
      </c>
    </row>
    <row r="153" spans="1:2" x14ac:dyDescent="0.25">
      <c r="A153" s="1">
        <v>44895</v>
      </c>
      <c r="B153">
        <v>35</v>
      </c>
    </row>
    <row r="154" spans="1:2" x14ac:dyDescent="0.25">
      <c r="A154" s="1">
        <v>44896</v>
      </c>
      <c r="B154">
        <v>32</v>
      </c>
    </row>
    <row r="155" spans="1:2" x14ac:dyDescent="0.25">
      <c r="A155" s="1">
        <v>44897</v>
      </c>
      <c r="B155">
        <v>25</v>
      </c>
    </row>
    <row r="156" spans="1:2" x14ac:dyDescent="0.25">
      <c r="A156" s="1">
        <v>44898</v>
      </c>
      <c r="B156">
        <v>19</v>
      </c>
    </row>
    <row r="157" spans="1:2" x14ac:dyDescent="0.25">
      <c r="A157" s="1">
        <v>44899</v>
      </c>
      <c r="B157">
        <v>30</v>
      </c>
    </row>
    <row r="158" spans="1:2" x14ac:dyDescent="0.25">
      <c r="A158" s="1">
        <v>44900</v>
      </c>
      <c r="B158">
        <v>23</v>
      </c>
    </row>
    <row r="159" spans="1:2" x14ac:dyDescent="0.25">
      <c r="A159" s="1">
        <v>44901</v>
      </c>
      <c r="B159">
        <v>32</v>
      </c>
    </row>
    <row r="160" spans="1:2" x14ac:dyDescent="0.25">
      <c r="A160" s="1">
        <v>44902</v>
      </c>
      <c r="B160">
        <v>35</v>
      </c>
    </row>
    <row r="161" spans="1:2" x14ac:dyDescent="0.25">
      <c r="A161" s="1">
        <v>44903</v>
      </c>
      <c r="B161">
        <v>29</v>
      </c>
    </row>
    <row r="162" spans="1:2" x14ac:dyDescent="0.25">
      <c r="A162" s="1">
        <v>44904</v>
      </c>
      <c r="B162">
        <v>36</v>
      </c>
    </row>
    <row r="163" spans="1:2" x14ac:dyDescent="0.25">
      <c r="A163" s="1">
        <v>44905</v>
      </c>
      <c r="B163">
        <v>30</v>
      </c>
    </row>
    <row r="164" spans="1:2" x14ac:dyDescent="0.25">
      <c r="A164" s="1">
        <v>44906</v>
      </c>
      <c r="B164">
        <v>25</v>
      </c>
    </row>
    <row r="165" spans="1:2" x14ac:dyDescent="0.25">
      <c r="A165" s="1">
        <v>44907</v>
      </c>
      <c r="B165">
        <v>31</v>
      </c>
    </row>
    <row r="166" spans="1:2" x14ac:dyDescent="0.25">
      <c r="A166" s="1">
        <v>44908</v>
      </c>
      <c r="B166">
        <v>34</v>
      </c>
    </row>
    <row r="167" spans="1:2" x14ac:dyDescent="0.25">
      <c r="A167" s="1">
        <v>44909</v>
      </c>
      <c r="B167">
        <v>22</v>
      </c>
    </row>
    <row r="168" spans="1:2" x14ac:dyDescent="0.25">
      <c r="A168" s="1">
        <v>44910</v>
      </c>
      <c r="B168">
        <v>26</v>
      </c>
    </row>
    <row r="169" spans="1:2" x14ac:dyDescent="0.25">
      <c r="A169" s="1">
        <v>44911</v>
      </c>
      <c r="B169">
        <v>27</v>
      </c>
    </row>
    <row r="170" spans="1:2" x14ac:dyDescent="0.25">
      <c r="A170" s="1">
        <v>44912</v>
      </c>
      <c r="B170">
        <v>28</v>
      </c>
    </row>
    <row r="171" spans="1:2" x14ac:dyDescent="0.25">
      <c r="A171" s="1">
        <v>44913</v>
      </c>
      <c r="B171">
        <v>20</v>
      </c>
    </row>
    <row r="172" spans="1:2" x14ac:dyDescent="0.25">
      <c r="A172" s="1">
        <v>44914</v>
      </c>
      <c r="B172">
        <v>32</v>
      </c>
    </row>
    <row r="173" spans="1:2" x14ac:dyDescent="0.25">
      <c r="A173" s="1">
        <v>44915</v>
      </c>
      <c r="B173">
        <v>28</v>
      </c>
    </row>
    <row r="174" spans="1:2" x14ac:dyDescent="0.25">
      <c r="A174" s="1">
        <v>44916</v>
      </c>
      <c r="B174">
        <v>28</v>
      </c>
    </row>
    <row r="175" spans="1:2" x14ac:dyDescent="0.25">
      <c r="A175" s="1">
        <v>44917</v>
      </c>
      <c r="B175">
        <v>29</v>
      </c>
    </row>
    <row r="176" spans="1:2" x14ac:dyDescent="0.25">
      <c r="A176" s="1">
        <v>44918</v>
      </c>
      <c r="B176">
        <v>36</v>
      </c>
    </row>
    <row r="177" spans="1:2" x14ac:dyDescent="0.25">
      <c r="A177" s="1">
        <v>44919</v>
      </c>
      <c r="B177">
        <v>24</v>
      </c>
    </row>
    <row r="178" spans="1:2" x14ac:dyDescent="0.25">
      <c r="A178" s="1">
        <v>44920</v>
      </c>
      <c r="B178">
        <v>33</v>
      </c>
    </row>
    <row r="179" spans="1:2" x14ac:dyDescent="0.25">
      <c r="A179" s="1">
        <v>44921</v>
      </c>
      <c r="B179">
        <v>26</v>
      </c>
    </row>
    <row r="180" spans="1:2" x14ac:dyDescent="0.25">
      <c r="A180" s="1">
        <v>44922</v>
      </c>
      <c r="B180">
        <v>24</v>
      </c>
    </row>
    <row r="181" spans="1:2" x14ac:dyDescent="0.25">
      <c r="A181" s="1">
        <v>44923</v>
      </c>
      <c r="B181">
        <v>32</v>
      </c>
    </row>
    <row r="182" spans="1:2" x14ac:dyDescent="0.25">
      <c r="A182" s="1">
        <v>44924</v>
      </c>
      <c r="B182">
        <v>29</v>
      </c>
    </row>
    <row r="183" spans="1:2" x14ac:dyDescent="0.25">
      <c r="A183" s="1">
        <v>44925</v>
      </c>
      <c r="B183">
        <v>22</v>
      </c>
    </row>
    <row r="184" spans="1:2" x14ac:dyDescent="0.25">
      <c r="A184" s="1">
        <v>44926</v>
      </c>
      <c r="B184">
        <v>37</v>
      </c>
    </row>
    <row r="185" spans="1:2" x14ac:dyDescent="0.25">
      <c r="A185" s="1">
        <v>44927</v>
      </c>
      <c r="B185">
        <v>24</v>
      </c>
    </row>
    <row r="186" spans="1:2" x14ac:dyDescent="0.25">
      <c r="A186" s="1">
        <v>44928</v>
      </c>
      <c r="B186">
        <v>35</v>
      </c>
    </row>
    <row r="187" spans="1:2" x14ac:dyDescent="0.25">
      <c r="A187" s="1">
        <v>44929</v>
      </c>
      <c r="B187">
        <v>40</v>
      </c>
    </row>
    <row r="188" spans="1:2" x14ac:dyDescent="0.25">
      <c r="A188" s="1">
        <v>44930</v>
      </c>
      <c r="B188">
        <v>46</v>
      </c>
    </row>
    <row r="189" spans="1:2" x14ac:dyDescent="0.25">
      <c r="A189" s="1">
        <v>44931</v>
      </c>
      <c r="B189">
        <v>36</v>
      </c>
    </row>
    <row r="190" spans="1:2" x14ac:dyDescent="0.25">
      <c r="A190" s="1">
        <v>44932</v>
      </c>
      <c r="B190">
        <v>46</v>
      </c>
    </row>
    <row r="191" spans="1:2" x14ac:dyDescent="0.25">
      <c r="A191" s="1">
        <v>44933</v>
      </c>
      <c r="B191">
        <v>35</v>
      </c>
    </row>
    <row r="192" spans="1:2" x14ac:dyDescent="0.25">
      <c r="A192" s="1">
        <v>44934</v>
      </c>
      <c r="B192">
        <v>53</v>
      </c>
    </row>
    <row r="193" spans="1:2" x14ac:dyDescent="0.25">
      <c r="A193" s="1">
        <v>44935</v>
      </c>
      <c r="B193">
        <v>53</v>
      </c>
    </row>
    <row r="194" spans="1:2" x14ac:dyDescent="0.25">
      <c r="A194" s="1">
        <v>44936</v>
      </c>
      <c r="B194">
        <v>52</v>
      </c>
    </row>
    <row r="195" spans="1:2" x14ac:dyDescent="0.25">
      <c r="A195" s="1">
        <v>44937</v>
      </c>
      <c r="B195">
        <v>65</v>
      </c>
    </row>
    <row r="196" spans="1:2" x14ac:dyDescent="0.25">
      <c r="A196" s="1">
        <v>44938</v>
      </c>
      <c r="B196">
        <v>52</v>
      </c>
    </row>
    <row r="197" spans="1:2" x14ac:dyDescent="0.25">
      <c r="A197" s="1">
        <v>44939</v>
      </c>
      <c r="B197">
        <v>62</v>
      </c>
    </row>
    <row r="198" spans="1:2" x14ac:dyDescent="0.25">
      <c r="A198" s="1">
        <v>44940</v>
      </c>
      <c r="B198">
        <v>77</v>
      </c>
    </row>
    <row r="199" spans="1:2" x14ac:dyDescent="0.25">
      <c r="A199" s="1">
        <v>44941</v>
      </c>
      <c r="B199">
        <v>61</v>
      </c>
    </row>
    <row r="200" spans="1:2" x14ac:dyDescent="0.25">
      <c r="A200" s="1">
        <v>44942</v>
      </c>
      <c r="B200">
        <v>70</v>
      </c>
    </row>
    <row r="201" spans="1:2" x14ac:dyDescent="0.25">
      <c r="A201" s="1">
        <v>44943</v>
      </c>
      <c r="B201">
        <v>66</v>
      </c>
    </row>
    <row r="202" spans="1:2" x14ac:dyDescent="0.25">
      <c r="A202" s="1">
        <v>44944</v>
      </c>
      <c r="B202">
        <v>73</v>
      </c>
    </row>
    <row r="203" spans="1:2" x14ac:dyDescent="0.25">
      <c r="A203" s="1">
        <v>44945</v>
      </c>
      <c r="B203">
        <v>73</v>
      </c>
    </row>
    <row r="204" spans="1:2" x14ac:dyDescent="0.25">
      <c r="A204" s="1">
        <v>44946</v>
      </c>
      <c r="B204">
        <v>80</v>
      </c>
    </row>
    <row r="205" spans="1:2" x14ac:dyDescent="0.25">
      <c r="A205" s="1">
        <v>44947</v>
      </c>
      <c r="B205">
        <v>75</v>
      </c>
    </row>
    <row r="206" spans="1:2" x14ac:dyDescent="0.25">
      <c r="A206" s="1">
        <v>44948</v>
      </c>
      <c r="B206">
        <v>90</v>
      </c>
    </row>
    <row r="207" spans="1:2" x14ac:dyDescent="0.25">
      <c r="A207" s="1">
        <v>44949</v>
      </c>
      <c r="B207">
        <v>78</v>
      </c>
    </row>
    <row r="208" spans="1:2" x14ac:dyDescent="0.25">
      <c r="A208" s="1">
        <v>44950</v>
      </c>
      <c r="B208">
        <v>90</v>
      </c>
    </row>
    <row r="209" spans="1:2" x14ac:dyDescent="0.25">
      <c r="A209" s="1">
        <v>44951</v>
      </c>
      <c r="B209">
        <v>88</v>
      </c>
    </row>
    <row r="210" spans="1:2" x14ac:dyDescent="0.25">
      <c r="A210" s="1">
        <v>44952</v>
      </c>
      <c r="B210">
        <v>83</v>
      </c>
    </row>
    <row r="211" spans="1:2" x14ac:dyDescent="0.25">
      <c r="A211" s="1">
        <v>44953</v>
      </c>
      <c r="B211">
        <v>92</v>
      </c>
    </row>
    <row r="212" spans="1:2" x14ac:dyDescent="0.25">
      <c r="A212" s="1">
        <v>44954</v>
      </c>
      <c r="B212">
        <v>99</v>
      </c>
    </row>
    <row r="213" spans="1:2" x14ac:dyDescent="0.25">
      <c r="A213" s="1">
        <v>44955</v>
      </c>
      <c r="B213">
        <v>93</v>
      </c>
    </row>
    <row r="214" spans="1:2" x14ac:dyDescent="0.25">
      <c r="A214" s="1">
        <v>44956</v>
      </c>
      <c r="B214">
        <v>115</v>
      </c>
    </row>
    <row r="215" spans="1:2" x14ac:dyDescent="0.25">
      <c r="A215" s="1">
        <v>44957</v>
      </c>
      <c r="B215">
        <v>108</v>
      </c>
    </row>
    <row r="216" spans="1:2" x14ac:dyDescent="0.25">
      <c r="A216" s="1">
        <v>44958</v>
      </c>
      <c r="B216">
        <v>112</v>
      </c>
    </row>
    <row r="217" spans="1:2" x14ac:dyDescent="0.25">
      <c r="A217" s="1">
        <v>44959</v>
      </c>
      <c r="B217">
        <v>86</v>
      </c>
    </row>
    <row r="218" spans="1:2" x14ac:dyDescent="0.25">
      <c r="A218" s="1">
        <v>44960</v>
      </c>
      <c r="B218">
        <v>98</v>
      </c>
    </row>
    <row r="219" spans="1:2" x14ac:dyDescent="0.25">
      <c r="A219" s="1">
        <v>44961</v>
      </c>
      <c r="B219">
        <v>100</v>
      </c>
    </row>
    <row r="220" spans="1:2" x14ac:dyDescent="0.25">
      <c r="A220" s="1">
        <v>44962</v>
      </c>
      <c r="B220">
        <v>95</v>
      </c>
    </row>
    <row r="221" spans="1:2" x14ac:dyDescent="0.25">
      <c r="A221" s="1">
        <v>44963</v>
      </c>
      <c r="B221">
        <v>98</v>
      </c>
    </row>
    <row r="222" spans="1:2" x14ac:dyDescent="0.25">
      <c r="A222" s="1">
        <v>44964</v>
      </c>
      <c r="B222">
        <v>90</v>
      </c>
    </row>
    <row r="223" spans="1:2" x14ac:dyDescent="0.25">
      <c r="A223" s="1">
        <v>44965</v>
      </c>
      <c r="B223">
        <v>107</v>
      </c>
    </row>
    <row r="224" spans="1:2" x14ac:dyDescent="0.25">
      <c r="A224" s="1">
        <v>44966</v>
      </c>
      <c r="B224">
        <v>101</v>
      </c>
    </row>
    <row r="225" spans="1:2" x14ac:dyDescent="0.25">
      <c r="A225" s="1">
        <v>44967</v>
      </c>
      <c r="B225">
        <v>104</v>
      </c>
    </row>
    <row r="226" spans="1:2" x14ac:dyDescent="0.25">
      <c r="A226" s="1">
        <v>44968</v>
      </c>
      <c r="B226">
        <v>98</v>
      </c>
    </row>
    <row r="227" spans="1:2" x14ac:dyDescent="0.25">
      <c r="A227" s="1">
        <v>44969</v>
      </c>
      <c r="B227">
        <v>101</v>
      </c>
    </row>
    <row r="228" spans="1:2" x14ac:dyDescent="0.25">
      <c r="A228" s="1">
        <v>44970</v>
      </c>
      <c r="B228">
        <v>94</v>
      </c>
    </row>
    <row r="229" spans="1:2" x14ac:dyDescent="0.25">
      <c r="A229" s="1">
        <v>44971</v>
      </c>
      <c r="B229">
        <v>108</v>
      </c>
    </row>
    <row r="230" spans="1:2" x14ac:dyDescent="0.25">
      <c r="A230" s="1">
        <v>44972</v>
      </c>
      <c r="B230">
        <v>103</v>
      </c>
    </row>
    <row r="231" spans="1:2" x14ac:dyDescent="0.25">
      <c r="A231" s="1">
        <v>44973</v>
      </c>
      <c r="B231">
        <v>95</v>
      </c>
    </row>
    <row r="232" spans="1:2" x14ac:dyDescent="0.25">
      <c r="A232" s="1">
        <v>44974</v>
      </c>
      <c r="B232">
        <v>107</v>
      </c>
    </row>
    <row r="233" spans="1:2" x14ac:dyDescent="0.25">
      <c r="A233" s="1">
        <v>44975</v>
      </c>
      <c r="B233">
        <v>116</v>
      </c>
    </row>
    <row r="234" spans="1:2" x14ac:dyDescent="0.25">
      <c r="A234" s="1">
        <v>44976</v>
      </c>
      <c r="B234">
        <v>109</v>
      </c>
    </row>
    <row r="235" spans="1:2" x14ac:dyDescent="0.25">
      <c r="A235" s="1">
        <v>44977</v>
      </c>
      <c r="B235">
        <v>84</v>
      </c>
    </row>
    <row r="236" spans="1:2" x14ac:dyDescent="0.25">
      <c r="A236" s="1">
        <v>44978</v>
      </c>
      <c r="B236">
        <v>98</v>
      </c>
    </row>
    <row r="237" spans="1:2" x14ac:dyDescent="0.25">
      <c r="A237" s="1">
        <v>44979</v>
      </c>
      <c r="B237">
        <v>115</v>
      </c>
    </row>
    <row r="238" spans="1:2" x14ac:dyDescent="0.25">
      <c r="A238" s="1">
        <v>44980</v>
      </c>
      <c r="B238">
        <v>95</v>
      </c>
    </row>
    <row r="239" spans="1:2" x14ac:dyDescent="0.25">
      <c r="A239" s="1">
        <v>44981</v>
      </c>
      <c r="B239">
        <v>106</v>
      </c>
    </row>
    <row r="240" spans="1:2" x14ac:dyDescent="0.25">
      <c r="A240" s="1">
        <v>44982</v>
      </c>
      <c r="B240">
        <v>118</v>
      </c>
    </row>
    <row r="241" spans="1:2" x14ac:dyDescent="0.25">
      <c r="A241" s="1">
        <v>44983</v>
      </c>
      <c r="B241">
        <v>127</v>
      </c>
    </row>
    <row r="242" spans="1:2" x14ac:dyDescent="0.25">
      <c r="A242" s="1">
        <v>44984</v>
      </c>
      <c r="B242">
        <v>104</v>
      </c>
    </row>
    <row r="243" spans="1:2" x14ac:dyDescent="0.25">
      <c r="A243" s="1">
        <v>44985</v>
      </c>
      <c r="B243">
        <v>131</v>
      </c>
    </row>
    <row r="244" spans="1:2" x14ac:dyDescent="0.25">
      <c r="A244" s="1">
        <v>44986</v>
      </c>
      <c r="B244">
        <v>130</v>
      </c>
    </row>
    <row r="245" spans="1:2" x14ac:dyDescent="0.25">
      <c r="A245" s="1">
        <v>44987</v>
      </c>
      <c r="B245">
        <v>138</v>
      </c>
    </row>
    <row r="246" spans="1:2" x14ac:dyDescent="0.25">
      <c r="A246" s="1">
        <v>44988</v>
      </c>
      <c r="B246">
        <v>167</v>
      </c>
    </row>
    <row r="247" spans="1:2" x14ac:dyDescent="0.25">
      <c r="A247" s="1">
        <v>44989</v>
      </c>
      <c r="B247">
        <v>170</v>
      </c>
    </row>
    <row r="248" spans="1:2" x14ac:dyDescent="0.25">
      <c r="A248" s="1">
        <v>44990</v>
      </c>
      <c r="B248">
        <v>165</v>
      </c>
    </row>
    <row r="249" spans="1:2" x14ac:dyDescent="0.25">
      <c r="A249" s="1">
        <v>44991</v>
      </c>
      <c r="B249">
        <v>149</v>
      </c>
    </row>
    <row r="250" spans="1:2" x14ac:dyDescent="0.25">
      <c r="A250" s="1">
        <v>44992</v>
      </c>
      <c r="B250">
        <v>151</v>
      </c>
    </row>
    <row r="251" spans="1:2" x14ac:dyDescent="0.25">
      <c r="A251" s="1">
        <v>44993</v>
      </c>
      <c r="B251">
        <v>173</v>
      </c>
    </row>
    <row r="252" spans="1:2" x14ac:dyDescent="0.25">
      <c r="A252" s="1">
        <v>44994</v>
      </c>
      <c r="B252">
        <v>150</v>
      </c>
    </row>
    <row r="253" spans="1:2" x14ac:dyDescent="0.25">
      <c r="A253" s="1">
        <v>44995</v>
      </c>
      <c r="B253">
        <v>162</v>
      </c>
    </row>
    <row r="254" spans="1:2" x14ac:dyDescent="0.25">
      <c r="A254" s="1">
        <v>44996</v>
      </c>
      <c r="B254">
        <v>175</v>
      </c>
    </row>
    <row r="255" spans="1:2" x14ac:dyDescent="0.25">
      <c r="A255" s="1">
        <v>44997</v>
      </c>
      <c r="B255">
        <v>176</v>
      </c>
    </row>
    <row r="256" spans="1:2" x14ac:dyDescent="0.25">
      <c r="A256" s="1">
        <v>44998</v>
      </c>
      <c r="B256">
        <v>180</v>
      </c>
    </row>
    <row r="257" spans="1:2" x14ac:dyDescent="0.25">
      <c r="A257" s="1">
        <v>44999</v>
      </c>
      <c r="B257">
        <v>168</v>
      </c>
    </row>
    <row r="258" spans="1:2" x14ac:dyDescent="0.25">
      <c r="A258" s="1">
        <v>45000</v>
      </c>
      <c r="B258">
        <v>185</v>
      </c>
    </row>
    <row r="259" spans="1:2" x14ac:dyDescent="0.25">
      <c r="A259" s="1">
        <v>45001</v>
      </c>
      <c r="B259">
        <v>181</v>
      </c>
    </row>
    <row r="260" spans="1:2" x14ac:dyDescent="0.25">
      <c r="A260" s="1">
        <v>45002</v>
      </c>
      <c r="B260">
        <v>172</v>
      </c>
    </row>
    <row r="261" spans="1:2" x14ac:dyDescent="0.25">
      <c r="A261" s="1">
        <v>45003</v>
      </c>
      <c r="B261">
        <v>187</v>
      </c>
    </row>
    <row r="262" spans="1:2" x14ac:dyDescent="0.25">
      <c r="A262" s="1">
        <v>45004</v>
      </c>
      <c r="B262">
        <v>218</v>
      </c>
    </row>
    <row r="263" spans="1:2" x14ac:dyDescent="0.25">
      <c r="A263" s="1">
        <v>45005</v>
      </c>
      <c r="B263">
        <v>184</v>
      </c>
    </row>
    <row r="264" spans="1:2" x14ac:dyDescent="0.25">
      <c r="A264" s="1">
        <v>45006</v>
      </c>
      <c r="B264">
        <v>194</v>
      </c>
    </row>
    <row r="265" spans="1:2" x14ac:dyDescent="0.25">
      <c r="A265" s="1">
        <v>45007</v>
      </c>
      <c r="B265">
        <v>131</v>
      </c>
    </row>
    <row r="266" spans="1:2" x14ac:dyDescent="0.25">
      <c r="A266" s="1">
        <v>45008</v>
      </c>
      <c r="B266">
        <v>176</v>
      </c>
    </row>
    <row r="267" spans="1:2" x14ac:dyDescent="0.25">
      <c r="A267" s="1">
        <v>45009</v>
      </c>
      <c r="B267">
        <v>136</v>
      </c>
    </row>
    <row r="268" spans="1:2" x14ac:dyDescent="0.25">
      <c r="A268" s="1">
        <v>45010</v>
      </c>
      <c r="B268">
        <v>153</v>
      </c>
    </row>
    <row r="269" spans="1:2" x14ac:dyDescent="0.25">
      <c r="A269" s="1">
        <v>45011</v>
      </c>
      <c r="B269">
        <v>159</v>
      </c>
    </row>
    <row r="270" spans="1:2" x14ac:dyDescent="0.25">
      <c r="A270" s="1">
        <v>45012</v>
      </c>
      <c r="B270">
        <v>143</v>
      </c>
    </row>
    <row r="271" spans="1:2" x14ac:dyDescent="0.25">
      <c r="A271" s="1">
        <v>45013</v>
      </c>
      <c r="B271">
        <v>156</v>
      </c>
    </row>
    <row r="272" spans="1:2" x14ac:dyDescent="0.25">
      <c r="A272" s="1">
        <v>45014</v>
      </c>
      <c r="B272">
        <v>151</v>
      </c>
    </row>
    <row r="273" spans="1:2" x14ac:dyDescent="0.25">
      <c r="A273" s="1">
        <v>45015</v>
      </c>
      <c r="B273">
        <v>148</v>
      </c>
    </row>
    <row r="274" spans="1:2" x14ac:dyDescent="0.25">
      <c r="A274" s="1">
        <v>45016</v>
      </c>
      <c r="B274">
        <v>184</v>
      </c>
    </row>
    <row r="275" spans="1:2" x14ac:dyDescent="0.25">
      <c r="A275" s="1">
        <v>45017</v>
      </c>
      <c r="B275">
        <v>204</v>
      </c>
    </row>
    <row r="276" spans="1:2" x14ac:dyDescent="0.25">
      <c r="A276" s="1">
        <v>45018</v>
      </c>
      <c r="B276">
        <v>215</v>
      </c>
    </row>
    <row r="277" spans="1:2" x14ac:dyDescent="0.25">
      <c r="A277" s="1">
        <v>45019</v>
      </c>
      <c r="B277">
        <v>198</v>
      </c>
    </row>
    <row r="278" spans="1:2" x14ac:dyDescent="0.25">
      <c r="A278" s="1">
        <v>45020</v>
      </c>
      <c r="B278">
        <v>199</v>
      </c>
    </row>
    <row r="279" spans="1:2" x14ac:dyDescent="0.25">
      <c r="A279" s="1">
        <v>45021</v>
      </c>
      <c r="B279">
        <v>188</v>
      </c>
    </row>
    <row r="280" spans="1:2" x14ac:dyDescent="0.25">
      <c r="A280" s="1">
        <v>45022</v>
      </c>
      <c r="B280">
        <v>197</v>
      </c>
    </row>
    <row r="281" spans="1:2" x14ac:dyDescent="0.25">
      <c r="A281" s="1">
        <v>45023</v>
      </c>
      <c r="B281">
        <v>192</v>
      </c>
    </row>
    <row r="282" spans="1:2" x14ac:dyDescent="0.25">
      <c r="A282" s="1">
        <v>45024</v>
      </c>
      <c r="B282">
        <v>200</v>
      </c>
    </row>
    <row r="283" spans="1:2" x14ac:dyDescent="0.25">
      <c r="A283" s="1">
        <v>45025</v>
      </c>
      <c r="B283">
        <v>192</v>
      </c>
    </row>
    <row r="284" spans="1:2" x14ac:dyDescent="0.25">
      <c r="A284" s="1">
        <v>45026</v>
      </c>
      <c r="B284">
        <v>172</v>
      </c>
    </row>
    <row r="285" spans="1:2" x14ac:dyDescent="0.25">
      <c r="A285" s="1">
        <v>45027</v>
      </c>
      <c r="B285">
        <v>160</v>
      </c>
    </row>
    <row r="286" spans="1:2" x14ac:dyDescent="0.25">
      <c r="A286" s="1">
        <v>45028</v>
      </c>
      <c r="B286">
        <v>168</v>
      </c>
    </row>
    <row r="287" spans="1:2" x14ac:dyDescent="0.25">
      <c r="A287" s="1">
        <v>45029</v>
      </c>
      <c r="B287">
        <v>171</v>
      </c>
    </row>
    <row r="288" spans="1:2" x14ac:dyDescent="0.25">
      <c r="A288" s="1">
        <v>45030</v>
      </c>
      <c r="B288">
        <v>154</v>
      </c>
    </row>
    <row r="289" spans="1:2" x14ac:dyDescent="0.25">
      <c r="A289" s="1">
        <v>45031</v>
      </c>
      <c r="B289">
        <v>146</v>
      </c>
    </row>
    <row r="290" spans="1:2" x14ac:dyDescent="0.25">
      <c r="A290" s="1">
        <v>45032</v>
      </c>
      <c r="B290">
        <v>166</v>
      </c>
    </row>
    <row r="291" spans="1:2" x14ac:dyDescent="0.25">
      <c r="A291" s="1">
        <v>45033</v>
      </c>
      <c r="B291">
        <v>134</v>
      </c>
    </row>
    <row r="292" spans="1:2" x14ac:dyDescent="0.25">
      <c r="A292" s="1">
        <v>45034</v>
      </c>
      <c r="B292">
        <v>149</v>
      </c>
    </row>
    <row r="293" spans="1:2" x14ac:dyDescent="0.25">
      <c r="A293" s="1">
        <v>45035</v>
      </c>
      <c r="B293">
        <v>132</v>
      </c>
    </row>
    <row r="294" spans="1:2" x14ac:dyDescent="0.25">
      <c r="A294" s="1">
        <v>45036</v>
      </c>
      <c r="B294">
        <v>131</v>
      </c>
    </row>
    <row r="295" spans="1:2" x14ac:dyDescent="0.25">
      <c r="A295" s="1">
        <v>45037</v>
      </c>
      <c r="B295">
        <v>104</v>
      </c>
    </row>
    <row r="296" spans="1:2" x14ac:dyDescent="0.25">
      <c r="A296" s="1">
        <v>45038</v>
      </c>
      <c r="B296">
        <v>105</v>
      </c>
    </row>
    <row r="297" spans="1:2" x14ac:dyDescent="0.25">
      <c r="A297" s="1">
        <v>45039</v>
      </c>
      <c r="B297">
        <v>105</v>
      </c>
    </row>
    <row r="298" spans="1:2" x14ac:dyDescent="0.25">
      <c r="A298" s="1">
        <v>45040</v>
      </c>
      <c r="B298">
        <v>90</v>
      </c>
    </row>
    <row r="299" spans="1:2" x14ac:dyDescent="0.25">
      <c r="A299" s="1">
        <v>45041</v>
      </c>
      <c r="B299">
        <v>101</v>
      </c>
    </row>
    <row r="300" spans="1:2" x14ac:dyDescent="0.25">
      <c r="A300" s="1">
        <v>45042</v>
      </c>
      <c r="B300">
        <v>92</v>
      </c>
    </row>
    <row r="301" spans="1:2" x14ac:dyDescent="0.25">
      <c r="A301" s="1">
        <v>45043</v>
      </c>
      <c r="B301">
        <v>68</v>
      </c>
    </row>
    <row r="302" spans="1:2" x14ac:dyDescent="0.25">
      <c r="A302" s="1">
        <v>45044</v>
      </c>
      <c r="B302">
        <v>75</v>
      </c>
    </row>
    <row r="303" spans="1:2" x14ac:dyDescent="0.25">
      <c r="A303" s="1">
        <v>45045</v>
      </c>
      <c r="B303">
        <v>73</v>
      </c>
    </row>
    <row r="304" spans="1:2" x14ac:dyDescent="0.25">
      <c r="A304" s="1">
        <v>45046</v>
      </c>
      <c r="B304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A3057-700B-4484-86F2-8154D8566155}">
  <dimension ref="A1:AO304"/>
  <sheetViews>
    <sheetView tabSelected="1" topLeftCell="A55" workbookViewId="0">
      <selection activeCell="Z69" sqref="Z69"/>
    </sheetView>
  </sheetViews>
  <sheetFormatPr defaultRowHeight="15" x14ac:dyDescent="0.25"/>
  <cols>
    <col min="2" max="2" width="9" bestFit="1" customWidth="1"/>
    <col min="3" max="3" width="7" customWidth="1"/>
    <col min="4" max="4" width="7" bestFit="1" customWidth="1"/>
    <col min="5" max="5" width="10.42578125" style="3" customWidth="1"/>
    <col min="6" max="6" width="13.7109375" bestFit="1" customWidth="1"/>
    <col min="7" max="7" width="13.7109375" customWidth="1"/>
    <col min="11" max="25" width="9.140625" customWidth="1"/>
    <col min="26" max="26" width="10.140625" style="3" bestFit="1" customWidth="1"/>
    <col min="29" max="29" width="13.7109375" bestFit="1" customWidth="1"/>
    <col min="32" max="36" width="11.7109375" style="3" customWidth="1"/>
    <col min="37" max="37" width="12.5703125" customWidth="1"/>
  </cols>
  <sheetData>
    <row r="1" spans="1:41" x14ac:dyDescent="0.25">
      <c r="A1" t="s">
        <v>4</v>
      </c>
      <c r="B1" t="s">
        <v>53</v>
      </c>
      <c r="C1" t="s">
        <v>0</v>
      </c>
      <c r="D1" t="s">
        <v>5</v>
      </c>
      <c r="E1" s="3" t="s">
        <v>68</v>
      </c>
      <c r="F1" t="s">
        <v>52</v>
      </c>
      <c r="G1" t="s">
        <v>54</v>
      </c>
      <c r="H1" t="s">
        <v>6</v>
      </c>
      <c r="I1" t="s">
        <v>3</v>
      </c>
      <c r="J1" t="s">
        <v>1</v>
      </c>
      <c r="K1" s="4" t="s">
        <v>69</v>
      </c>
      <c r="L1" s="4" t="s">
        <v>70</v>
      </c>
      <c r="Z1" s="3" t="s">
        <v>2</v>
      </c>
      <c r="AA1" t="s">
        <v>4</v>
      </c>
      <c r="AB1" t="s">
        <v>5</v>
      </c>
      <c r="AC1" t="s">
        <v>52</v>
      </c>
      <c r="AD1" t="s">
        <v>3</v>
      </c>
      <c r="AF1" s="3" t="s">
        <v>0</v>
      </c>
      <c r="AG1" s="3" t="s">
        <v>53</v>
      </c>
      <c r="AH1" s="3" t="s">
        <v>0</v>
      </c>
      <c r="AI1" s="3" t="s">
        <v>67</v>
      </c>
      <c r="AJ1" s="3" t="s">
        <v>54</v>
      </c>
      <c r="AK1" t="s">
        <v>1</v>
      </c>
      <c r="AN1" t="s">
        <v>53</v>
      </c>
      <c r="AO1" t="s">
        <v>0</v>
      </c>
    </row>
    <row r="2" spans="1:41" x14ac:dyDescent="0.25">
      <c r="A2">
        <f t="shared" ref="A2:A65" si="0">_xlfn.ISOWEEKNUM(E2)</f>
        <v>26</v>
      </c>
      <c r="B2">
        <f t="shared" ref="B2:B65" si="1">MONTH(E2)</f>
        <v>7</v>
      </c>
      <c r="C2" t="str">
        <f t="shared" ref="C2:C65" si="2">VLOOKUP(B2,AN:AO,2,0)</f>
        <v>июл</v>
      </c>
      <c r="D2">
        <f t="shared" ref="D2:D65" si="3">YEAR(E2)</f>
        <v>2022</v>
      </c>
      <c r="E2" s="3">
        <v>44744</v>
      </c>
      <c r="F2" t="str">
        <f t="shared" ref="F2:F65" si="4">VLOOKUP(A2,AA:AC,3,0)</f>
        <v>26-я нед. 2022</v>
      </c>
      <c r="G2" t="str">
        <f t="shared" ref="G2:G65" si="5">CONCATENATE(C2," ",D2)</f>
        <v>июл 2022</v>
      </c>
      <c r="H2">
        <v>3</v>
      </c>
      <c r="I2">
        <f t="shared" ref="I2:I65" si="6">VLOOKUP(A2,AA:AD,4,0)</f>
        <v>6</v>
      </c>
      <c r="J2">
        <f t="shared" ref="J2:J65" si="7">VLOOKUP(G2,AJ:AK,2,0)</f>
        <v>193</v>
      </c>
      <c r="K2" s="5">
        <f>H2/I2</f>
        <v>0.5</v>
      </c>
      <c r="L2" s="5">
        <f>H2/J2</f>
        <v>1.5544041450777202E-2</v>
      </c>
      <c r="Z2" s="3">
        <v>44739</v>
      </c>
      <c r="AA2">
        <v>26</v>
      </c>
      <c r="AB2">
        <v>2022</v>
      </c>
      <c r="AC2" t="s">
        <v>8</v>
      </c>
      <c r="AD2">
        <v>6</v>
      </c>
      <c r="AF2" s="3">
        <v>44743</v>
      </c>
      <c r="AG2">
        <f>MONTH(AF2)</f>
        <v>7</v>
      </c>
      <c r="AH2" t="str">
        <f>VLOOKUP(AG2,AN:AO,2,0)</f>
        <v>июл</v>
      </c>
      <c r="AI2">
        <f>YEAR(AF2)</f>
        <v>2022</v>
      </c>
      <c r="AJ2" t="str">
        <f>CONCATENATE(AH2," ",AI2)</f>
        <v>июл 2022</v>
      </c>
      <c r="AK2">
        <v>193</v>
      </c>
      <c r="AN2">
        <v>1</v>
      </c>
      <c r="AO2" t="s">
        <v>55</v>
      </c>
    </row>
    <row r="3" spans="1:41" x14ac:dyDescent="0.25">
      <c r="A3">
        <f t="shared" si="0"/>
        <v>26</v>
      </c>
      <c r="B3">
        <f t="shared" si="1"/>
        <v>7</v>
      </c>
      <c r="C3" t="str">
        <f t="shared" si="2"/>
        <v>июл</v>
      </c>
      <c r="D3">
        <f t="shared" si="3"/>
        <v>2022</v>
      </c>
      <c r="E3" s="3">
        <v>44745</v>
      </c>
      <c r="F3" t="str">
        <f t="shared" si="4"/>
        <v>26-я нед. 2022</v>
      </c>
      <c r="G3" t="str">
        <f t="shared" si="5"/>
        <v>июл 2022</v>
      </c>
      <c r="H3">
        <v>6</v>
      </c>
      <c r="I3">
        <f t="shared" si="6"/>
        <v>6</v>
      </c>
      <c r="J3">
        <f t="shared" si="7"/>
        <v>193</v>
      </c>
      <c r="K3" s="5">
        <f t="shared" ref="K3:K66" si="8">H3/I3</f>
        <v>1</v>
      </c>
      <c r="L3" s="5">
        <f t="shared" ref="L3:L66" si="9">H3/J3</f>
        <v>3.1088082901554404E-2</v>
      </c>
      <c r="Z3" s="3">
        <v>44746</v>
      </c>
      <c r="AA3">
        <v>27</v>
      </c>
      <c r="AB3">
        <v>2022</v>
      </c>
      <c r="AC3" t="s">
        <v>9</v>
      </c>
      <c r="AD3">
        <v>59</v>
      </c>
      <c r="AF3" s="3">
        <v>44774</v>
      </c>
      <c r="AG3">
        <f t="shared" ref="AG3:AG11" si="10">MONTH(AF3)</f>
        <v>8</v>
      </c>
      <c r="AH3" t="str">
        <f t="shared" ref="AH3:AH11" si="11">VLOOKUP(AG3,AN:AO,2,0)</f>
        <v>авг</v>
      </c>
      <c r="AI3">
        <f t="shared" ref="AI3:AI11" si="12">YEAR(AF3)</f>
        <v>2022</v>
      </c>
      <c r="AJ3" t="str">
        <f t="shared" ref="AJ3:AJ11" si="13">CONCATENATE(AH3," ",AI3)</f>
        <v>авг 2022</v>
      </c>
      <c r="AK3">
        <v>366</v>
      </c>
      <c r="AN3">
        <v>2</v>
      </c>
      <c r="AO3" t="s">
        <v>56</v>
      </c>
    </row>
    <row r="4" spans="1:41" x14ac:dyDescent="0.25">
      <c r="A4">
        <f t="shared" si="0"/>
        <v>27</v>
      </c>
      <c r="B4">
        <f t="shared" si="1"/>
        <v>7</v>
      </c>
      <c r="C4" t="str">
        <f t="shared" si="2"/>
        <v>июл</v>
      </c>
      <c r="D4">
        <f t="shared" si="3"/>
        <v>2022</v>
      </c>
      <c r="E4" s="3">
        <v>44746</v>
      </c>
      <c r="F4" t="str">
        <f t="shared" si="4"/>
        <v>27-я нед. 2022</v>
      </c>
      <c r="G4" t="str">
        <f t="shared" si="5"/>
        <v>июл 2022</v>
      </c>
      <c r="H4">
        <v>5</v>
      </c>
      <c r="I4">
        <f t="shared" si="6"/>
        <v>59</v>
      </c>
      <c r="J4">
        <f t="shared" si="7"/>
        <v>193</v>
      </c>
      <c r="K4" s="5">
        <f t="shared" si="8"/>
        <v>8.4745762711864403E-2</v>
      </c>
      <c r="L4" s="5">
        <f t="shared" si="9"/>
        <v>2.5906735751295335E-2</v>
      </c>
      <c r="Z4" s="3">
        <v>44753</v>
      </c>
      <c r="AA4">
        <v>28</v>
      </c>
      <c r="AB4">
        <v>2022</v>
      </c>
      <c r="AC4" t="s">
        <v>10</v>
      </c>
      <c r="AD4">
        <v>92</v>
      </c>
      <c r="AF4" s="3">
        <v>44805</v>
      </c>
      <c r="AG4">
        <f t="shared" si="10"/>
        <v>9</v>
      </c>
      <c r="AH4" t="str">
        <f t="shared" si="11"/>
        <v>сен</v>
      </c>
      <c r="AI4">
        <f t="shared" si="12"/>
        <v>2022</v>
      </c>
      <c r="AJ4" t="str">
        <f t="shared" si="13"/>
        <v>сен 2022</v>
      </c>
      <c r="AK4">
        <v>378</v>
      </c>
      <c r="AN4">
        <v>3</v>
      </c>
      <c r="AO4" t="s">
        <v>57</v>
      </c>
    </row>
    <row r="5" spans="1:41" x14ac:dyDescent="0.25">
      <c r="A5">
        <f t="shared" si="0"/>
        <v>27</v>
      </c>
      <c r="B5">
        <f t="shared" si="1"/>
        <v>7</v>
      </c>
      <c r="C5" t="str">
        <f t="shared" si="2"/>
        <v>июл</v>
      </c>
      <c r="D5">
        <f t="shared" si="3"/>
        <v>2022</v>
      </c>
      <c r="E5" s="3">
        <v>44747</v>
      </c>
      <c r="F5" t="str">
        <f t="shared" si="4"/>
        <v>27-я нед. 2022</v>
      </c>
      <c r="G5" t="str">
        <f t="shared" si="5"/>
        <v>июл 2022</v>
      </c>
      <c r="H5">
        <v>10</v>
      </c>
      <c r="I5">
        <f t="shared" si="6"/>
        <v>59</v>
      </c>
      <c r="J5">
        <f t="shared" si="7"/>
        <v>193</v>
      </c>
      <c r="K5" s="5">
        <f t="shared" si="8"/>
        <v>0.16949152542372881</v>
      </c>
      <c r="L5" s="5">
        <f t="shared" si="9"/>
        <v>5.181347150259067E-2</v>
      </c>
      <c r="Z5" s="3">
        <v>44760</v>
      </c>
      <c r="AA5">
        <v>29</v>
      </c>
      <c r="AB5">
        <v>2022</v>
      </c>
      <c r="AC5" t="s">
        <v>11</v>
      </c>
      <c r="AD5">
        <v>133</v>
      </c>
      <c r="AF5" s="3">
        <v>44835</v>
      </c>
      <c r="AG5">
        <f t="shared" si="10"/>
        <v>10</v>
      </c>
      <c r="AH5" t="str">
        <f t="shared" si="11"/>
        <v>окт</v>
      </c>
      <c r="AI5">
        <f t="shared" si="12"/>
        <v>2022</v>
      </c>
      <c r="AJ5" t="str">
        <f t="shared" si="13"/>
        <v>окт 2022</v>
      </c>
      <c r="AK5">
        <v>393</v>
      </c>
      <c r="AN5">
        <v>4</v>
      </c>
      <c r="AO5" t="s">
        <v>58</v>
      </c>
    </row>
    <row r="6" spans="1:41" x14ac:dyDescent="0.25">
      <c r="A6">
        <f t="shared" si="0"/>
        <v>27</v>
      </c>
      <c r="B6">
        <f t="shared" si="1"/>
        <v>7</v>
      </c>
      <c r="C6" t="str">
        <f t="shared" si="2"/>
        <v>июл</v>
      </c>
      <c r="D6">
        <f t="shared" si="3"/>
        <v>2022</v>
      </c>
      <c r="E6" s="3">
        <v>44748</v>
      </c>
      <c r="F6" t="str">
        <f t="shared" si="4"/>
        <v>27-я нед. 2022</v>
      </c>
      <c r="G6" t="str">
        <f t="shared" si="5"/>
        <v>июл 2022</v>
      </c>
      <c r="H6">
        <v>5</v>
      </c>
      <c r="I6">
        <f t="shared" si="6"/>
        <v>59</v>
      </c>
      <c r="J6">
        <f t="shared" si="7"/>
        <v>193</v>
      </c>
      <c r="K6" s="5">
        <f t="shared" si="8"/>
        <v>8.4745762711864403E-2</v>
      </c>
      <c r="L6" s="5">
        <f t="shared" si="9"/>
        <v>2.5906735751295335E-2</v>
      </c>
      <c r="Z6" s="3">
        <v>44767</v>
      </c>
      <c r="AA6">
        <v>30</v>
      </c>
      <c r="AB6">
        <v>2022</v>
      </c>
      <c r="AC6" t="s">
        <v>12</v>
      </c>
      <c r="AD6">
        <v>183</v>
      </c>
      <c r="AF6" s="3">
        <v>44866</v>
      </c>
      <c r="AG6">
        <f t="shared" si="10"/>
        <v>11</v>
      </c>
      <c r="AH6" t="str">
        <f t="shared" si="11"/>
        <v>ноя</v>
      </c>
      <c r="AI6">
        <f t="shared" si="12"/>
        <v>2022</v>
      </c>
      <c r="AJ6" t="str">
        <f t="shared" si="13"/>
        <v>ноя 2022</v>
      </c>
      <c r="AK6">
        <v>426</v>
      </c>
      <c r="AN6">
        <v>5</v>
      </c>
      <c r="AO6" t="s">
        <v>59</v>
      </c>
    </row>
    <row r="7" spans="1:41" x14ac:dyDescent="0.25">
      <c r="A7">
        <f t="shared" si="0"/>
        <v>27</v>
      </c>
      <c r="B7">
        <f t="shared" si="1"/>
        <v>7</v>
      </c>
      <c r="C7" t="str">
        <f t="shared" si="2"/>
        <v>июл</v>
      </c>
      <c r="D7">
        <f t="shared" si="3"/>
        <v>2022</v>
      </c>
      <c r="E7" s="3">
        <v>44749</v>
      </c>
      <c r="F7" t="str">
        <f t="shared" si="4"/>
        <v>27-я нед. 2022</v>
      </c>
      <c r="G7" t="str">
        <f t="shared" si="5"/>
        <v>июл 2022</v>
      </c>
      <c r="H7">
        <v>13</v>
      </c>
      <c r="I7">
        <f t="shared" si="6"/>
        <v>59</v>
      </c>
      <c r="J7">
        <f t="shared" si="7"/>
        <v>193</v>
      </c>
      <c r="K7" s="5">
        <f t="shared" si="8"/>
        <v>0.22033898305084745</v>
      </c>
      <c r="L7" s="5">
        <f t="shared" si="9"/>
        <v>6.7357512953367879E-2</v>
      </c>
      <c r="Z7" s="3">
        <v>44774</v>
      </c>
      <c r="AA7">
        <v>31</v>
      </c>
      <c r="AB7">
        <v>2022</v>
      </c>
      <c r="AC7" t="s">
        <v>13</v>
      </c>
      <c r="AD7">
        <v>202</v>
      </c>
      <c r="AF7" s="3">
        <v>44896</v>
      </c>
      <c r="AG7">
        <f t="shared" si="10"/>
        <v>12</v>
      </c>
      <c r="AH7" t="str">
        <f t="shared" si="11"/>
        <v>дек</v>
      </c>
      <c r="AI7">
        <f t="shared" si="12"/>
        <v>2022</v>
      </c>
      <c r="AJ7" t="str">
        <f t="shared" si="13"/>
        <v>дек 2022</v>
      </c>
      <c r="AK7">
        <v>390</v>
      </c>
      <c r="AN7">
        <v>6</v>
      </c>
      <c r="AO7" t="s">
        <v>60</v>
      </c>
    </row>
    <row r="8" spans="1:41" x14ac:dyDescent="0.25">
      <c r="A8">
        <f t="shared" si="0"/>
        <v>27</v>
      </c>
      <c r="B8">
        <f t="shared" si="1"/>
        <v>7</v>
      </c>
      <c r="C8" t="str">
        <f t="shared" si="2"/>
        <v>июл</v>
      </c>
      <c r="D8">
        <f t="shared" si="3"/>
        <v>2022</v>
      </c>
      <c r="E8" s="3">
        <v>44750</v>
      </c>
      <c r="F8" t="str">
        <f t="shared" si="4"/>
        <v>27-я нед. 2022</v>
      </c>
      <c r="G8" t="str">
        <f t="shared" si="5"/>
        <v>июл 2022</v>
      </c>
      <c r="H8">
        <v>22</v>
      </c>
      <c r="I8">
        <f t="shared" si="6"/>
        <v>59</v>
      </c>
      <c r="J8">
        <f t="shared" si="7"/>
        <v>193</v>
      </c>
      <c r="K8" s="5">
        <f t="shared" si="8"/>
        <v>0.3728813559322034</v>
      </c>
      <c r="L8" s="5">
        <f t="shared" si="9"/>
        <v>0.11398963730569948</v>
      </c>
      <c r="Z8" s="3">
        <v>44781</v>
      </c>
      <c r="AA8">
        <v>32</v>
      </c>
      <c r="AB8">
        <v>2022</v>
      </c>
      <c r="AC8" t="s">
        <v>14</v>
      </c>
      <c r="AD8">
        <v>193</v>
      </c>
      <c r="AF8" s="3">
        <v>44927</v>
      </c>
      <c r="AG8">
        <f t="shared" si="10"/>
        <v>1</v>
      </c>
      <c r="AH8" t="str">
        <f t="shared" si="11"/>
        <v>янв</v>
      </c>
      <c r="AI8">
        <f t="shared" si="12"/>
        <v>2023</v>
      </c>
      <c r="AJ8" t="str">
        <f t="shared" si="13"/>
        <v>янв 2023</v>
      </c>
      <c r="AK8">
        <v>536</v>
      </c>
      <c r="AN8">
        <v>7</v>
      </c>
      <c r="AO8" t="s">
        <v>61</v>
      </c>
    </row>
    <row r="9" spans="1:41" x14ac:dyDescent="0.25">
      <c r="A9">
        <f t="shared" si="0"/>
        <v>27</v>
      </c>
      <c r="B9">
        <f t="shared" si="1"/>
        <v>7</v>
      </c>
      <c r="C9" t="str">
        <f t="shared" si="2"/>
        <v>июл</v>
      </c>
      <c r="D9">
        <f t="shared" si="3"/>
        <v>2022</v>
      </c>
      <c r="E9" s="3">
        <v>44751</v>
      </c>
      <c r="F9" t="str">
        <f t="shared" si="4"/>
        <v>27-я нед. 2022</v>
      </c>
      <c r="G9" t="str">
        <f t="shared" si="5"/>
        <v>июл 2022</v>
      </c>
      <c r="H9">
        <v>22</v>
      </c>
      <c r="I9">
        <f t="shared" si="6"/>
        <v>59</v>
      </c>
      <c r="J9">
        <f t="shared" si="7"/>
        <v>193</v>
      </c>
      <c r="K9" s="5">
        <f t="shared" si="8"/>
        <v>0.3728813559322034</v>
      </c>
      <c r="L9" s="5">
        <f t="shared" si="9"/>
        <v>0.11398963730569948</v>
      </c>
      <c r="Z9" s="3">
        <v>44788</v>
      </c>
      <c r="AA9">
        <v>33</v>
      </c>
      <c r="AB9">
        <v>2022</v>
      </c>
      <c r="AC9" t="s">
        <v>15</v>
      </c>
      <c r="AD9">
        <v>201</v>
      </c>
      <c r="AF9" s="3">
        <v>44958</v>
      </c>
      <c r="AG9">
        <f t="shared" si="10"/>
        <v>2</v>
      </c>
      <c r="AH9" t="str">
        <f t="shared" si="11"/>
        <v>фев</v>
      </c>
      <c r="AI9">
        <f t="shared" si="12"/>
        <v>2023</v>
      </c>
      <c r="AJ9" t="str">
        <f t="shared" si="13"/>
        <v>фев 2023</v>
      </c>
      <c r="AK9">
        <v>696</v>
      </c>
      <c r="AN9">
        <v>8</v>
      </c>
      <c r="AO9" t="s">
        <v>62</v>
      </c>
    </row>
    <row r="10" spans="1:41" x14ac:dyDescent="0.25">
      <c r="A10">
        <f t="shared" si="0"/>
        <v>27</v>
      </c>
      <c r="B10">
        <f t="shared" si="1"/>
        <v>7</v>
      </c>
      <c r="C10" t="str">
        <f t="shared" si="2"/>
        <v>июл</v>
      </c>
      <c r="D10">
        <f t="shared" si="3"/>
        <v>2022</v>
      </c>
      <c r="E10" s="3">
        <v>44752</v>
      </c>
      <c r="F10" t="str">
        <f t="shared" si="4"/>
        <v>27-я нед. 2022</v>
      </c>
      <c r="G10" t="str">
        <f t="shared" si="5"/>
        <v>июл 2022</v>
      </c>
      <c r="H10">
        <v>26</v>
      </c>
      <c r="I10">
        <f t="shared" si="6"/>
        <v>59</v>
      </c>
      <c r="J10">
        <f t="shared" si="7"/>
        <v>193</v>
      </c>
      <c r="K10" s="5">
        <f t="shared" si="8"/>
        <v>0.44067796610169491</v>
      </c>
      <c r="L10" s="5">
        <f t="shared" si="9"/>
        <v>0.13471502590673576</v>
      </c>
      <c r="Z10" s="3">
        <v>44795</v>
      </c>
      <c r="AA10">
        <v>34</v>
      </c>
      <c r="AB10">
        <v>2022</v>
      </c>
      <c r="AC10" t="s">
        <v>16</v>
      </c>
      <c r="AD10">
        <v>206</v>
      </c>
      <c r="AF10" s="3">
        <v>44986</v>
      </c>
      <c r="AG10">
        <f t="shared" si="10"/>
        <v>3</v>
      </c>
      <c r="AH10" t="str">
        <f t="shared" si="11"/>
        <v>мар</v>
      </c>
      <c r="AI10">
        <f t="shared" si="12"/>
        <v>2023</v>
      </c>
      <c r="AJ10" t="str">
        <f t="shared" si="13"/>
        <v>мар 2023</v>
      </c>
      <c r="AK10">
        <v>1544</v>
      </c>
      <c r="AN10">
        <v>9</v>
      </c>
      <c r="AO10" t="s">
        <v>63</v>
      </c>
    </row>
    <row r="11" spans="1:41" x14ac:dyDescent="0.25">
      <c r="A11">
        <f t="shared" si="0"/>
        <v>28</v>
      </c>
      <c r="B11">
        <f t="shared" si="1"/>
        <v>7</v>
      </c>
      <c r="C11" t="str">
        <f t="shared" si="2"/>
        <v>июл</v>
      </c>
      <c r="D11">
        <f t="shared" si="3"/>
        <v>2022</v>
      </c>
      <c r="E11" s="3">
        <v>44753</v>
      </c>
      <c r="F11" t="str">
        <f t="shared" si="4"/>
        <v>28-я нед. 2022</v>
      </c>
      <c r="G11" t="str">
        <f t="shared" si="5"/>
        <v>июл 2022</v>
      </c>
      <c r="H11">
        <v>23</v>
      </c>
      <c r="I11">
        <f t="shared" si="6"/>
        <v>92</v>
      </c>
      <c r="J11">
        <f t="shared" si="7"/>
        <v>193</v>
      </c>
      <c r="K11" s="5">
        <f t="shared" si="8"/>
        <v>0.25</v>
      </c>
      <c r="L11" s="5">
        <f t="shared" si="9"/>
        <v>0.11917098445595854</v>
      </c>
      <c r="Z11" s="3">
        <v>44802</v>
      </c>
      <c r="AA11">
        <v>35</v>
      </c>
      <c r="AB11">
        <v>2022</v>
      </c>
      <c r="AC11" t="s">
        <v>17</v>
      </c>
      <c r="AD11">
        <v>192</v>
      </c>
      <c r="AF11" s="3">
        <v>45017</v>
      </c>
      <c r="AG11">
        <f t="shared" si="10"/>
        <v>4</v>
      </c>
      <c r="AH11" t="str">
        <f t="shared" si="11"/>
        <v>апр</v>
      </c>
      <c r="AI11">
        <f t="shared" si="12"/>
        <v>2023</v>
      </c>
      <c r="AJ11" t="str">
        <f t="shared" si="13"/>
        <v>апр 2023</v>
      </c>
      <c r="AK11">
        <v>1027</v>
      </c>
      <c r="AN11">
        <v>10</v>
      </c>
      <c r="AO11" t="s">
        <v>64</v>
      </c>
    </row>
    <row r="12" spans="1:41" x14ac:dyDescent="0.25">
      <c r="A12">
        <f t="shared" si="0"/>
        <v>28</v>
      </c>
      <c r="B12">
        <f t="shared" si="1"/>
        <v>7</v>
      </c>
      <c r="C12" t="str">
        <f t="shared" si="2"/>
        <v>июл</v>
      </c>
      <c r="D12">
        <f t="shared" si="3"/>
        <v>2022</v>
      </c>
      <c r="E12" s="3">
        <v>44754</v>
      </c>
      <c r="F12" t="str">
        <f t="shared" si="4"/>
        <v>28-я нед. 2022</v>
      </c>
      <c r="G12" t="str">
        <f t="shared" si="5"/>
        <v>июл 2022</v>
      </c>
      <c r="H12">
        <v>24</v>
      </c>
      <c r="I12">
        <f t="shared" si="6"/>
        <v>92</v>
      </c>
      <c r="J12">
        <f t="shared" si="7"/>
        <v>193</v>
      </c>
      <c r="K12" s="5">
        <f t="shared" si="8"/>
        <v>0.2608695652173913</v>
      </c>
      <c r="L12" s="5">
        <f t="shared" si="9"/>
        <v>0.12435233160621761</v>
      </c>
      <c r="Z12" s="3">
        <v>44809</v>
      </c>
      <c r="AA12">
        <v>36</v>
      </c>
      <c r="AB12">
        <v>2022</v>
      </c>
      <c r="AC12" t="s">
        <v>18</v>
      </c>
      <c r="AD12">
        <v>196</v>
      </c>
      <c r="AN12">
        <v>11</v>
      </c>
      <c r="AO12" t="s">
        <v>65</v>
      </c>
    </row>
    <row r="13" spans="1:41" x14ac:dyDescent="0.25">
      <c r="A13">
        <f t="shared" si="0"/>
        <v>28</v>
      </c>
      <c r="B13">
        <f t="shared" si="1"/>
        <v>7</v>
      </c>
      <c r="C13" t="str">
        <f t="shared" si="2"/>
        <v>июл</v>
      </c>
      <c r="D13">
        <f t="shared" si="3"/>
        <v>2022</v>
      </c>
      <c r="E13" s="3">
        <v>44755</v>
      </c>
      <c r="F13" t="str">
        <f t="shared" si="4"/>
        <v>28-я нед. 2022</v>
      </c>
      <c r="G13" t="str">
        <f t="shared" si="5"/>
        <v>июл 2022</v>
      </c>
      <c r="H13">
        <v>30</v>
      </c>
      <c r="I13">
        <f t="shared" si="6"/>
        <v>92</v>
      </c>
      <c r="J13">
        <f t="shared" si="7"/>
        <v>193</v>
      </c>
      <c r="K13" s="5">
        <f t="shared" si="8"/>
        <v>0.32608695652173914</v>
      </c>
      <c r="L13" s="5">
        <f t="shared" si="9"/>
        <v>0.15544041450777202</v>
      </c>
      <c r="Z13" s="3">
        <v>44816</v>
      </c>
      <c r="AA13">
        <v>37</v>
      </c>
      <c r="AB13">
        <v>2022</v>
      </c>
      <c r="AC13" t="s">
        <v>19</v>
      </c>
      <c r="AD13">
        <v>205</v>
      </c>
      <c r="AN13">
        <v>12</v>
      </c>
      <c r="AO13" t="s">
        <v>66</v>
      </c>
    </row>
    <row r="14" spans="1:41" x14ac:dyDescent="0.25">
      <c r="A14">
        <f t="shared" si="0"/>
        <v>28</v>
      </c>
      <c r="B14">
        <f t="shared" si="1"/>
        <v>7</v>
      </c>
      <c r="C14" t="str">
        <f t="shared" si="2"/>
        <v>июл</v>
      </c>
      <c r="D14">
        <f t="shared" si="3"/>
        <v>2022</v>
      </c>
      <c r="E14" s="3">
        <v>44756</v>
      </c>
      <c r="F14" t="str">
        <f t="shared" si="4"/>
        <v>28-я нед. 2022</v>
      </c>
      <c r="G14" t="str">
        <f t="shared" si="5"/>
        <v>июл 2022</v>
      </c>
      <c r="H14">
        <v>32</v>
      </c>
      <c r="I14">
        <f t="shared" si="6"/>
        <v>92</v>
      </c>
      <c r="J14">
        <f t="shared" si="7"/>
        <v>193</v>
      </c>
      <c r="K14" s="5">
        <f t="shared" si="8"/>
        <v>0.34782608695652173</v>
      </c>
      <c r="L14" s="5">
        <f t="shared" si="9"/>
        <v>0.16580310880829016</v>
      </c>
      <c r="Z14" s="3">
        <v>44823</v>
      </c>
      <c r="AA14">
        <v>38</v>
      </c>
      <c r="AB14">
        <v>2022</v>
      </c>
      <c r="AC14" t="s">
        <v>20</v>
      </c>
      <c r="AD14">
        <v>213</v>
      </c>
    </row>
    <row r="15" spans="1:41" x14ac:dyDescent="0.25">
      <c r="A15">
        <f t="shared" si="0"/>
        <v>28</v>
      </c>
      <c r="B15">
        <f t="shared" si="1"/>
        <v>7</v>
      </c>
      <c r="C15" t="str">
        <f t="shared" si="2"/>
        <v>июл</v>
      </c>
      <c r="D15">
        <f t="shared" si="3"/>
        <v>2022</v>
      </c>
      <c r="E15" s="3">
        <v>44757</v>
      </c>
      <c r="F15" t="str">
        <f t="shared" si="4"/>
        <v>28-я нед. 2022</v>
      </c>
      <c r="G15" t="str">
        <f t="shared" si="5"/>
        <v>июл 2022</v>
      </c>
      <c r="H15">
        <v>25</v>
      </c>
      <c r="I15">
        <f t="shared" si="6"/>
        <v>92</v>
      </c>
      <c r="J15">
        <f t="shared" si="7"/>
        <v>193</v>
      </c>
      <c r="K15" s="5">
        <f t="shared" si="8"/>
        <v>0.27173913043478259</v>
      </c>
      <c r="L15" s="5">
        <f t="shared" si="9"/>
        <v>0.12953367875647667</v>
      </c>
      <c r="Z15" s="3">
        <v>44830</v>
      </c>
      <c r="AA15">
        <v>39</v>
      </c>
      <c r="AB15">
        <v>2022</v>
      </c>
      <c r="AC15" t="s">
        <v>21</v>
      </c>
      <c r="AD15">
        <v>208</v>
      </c>
    </row>
    <row r="16" spans="1:41" x14ac:dyDescent="0.25">
      <c r="A16">
        <f t="shared" si="0"/>
        <v>28</v>
      </c>
      <c r="B16">
        <f t="shared" si="1"/>
        <v>7</v>
      </c>
      <c r="C16" t="str">
        <f t="shared" si="2"/>
        <v>июл</v>
      </c>
      <c r="D16">
        <f t="shared" si="3"/>
        <v>2022</v>
      </c>
      <c r="E16" s="3">
        <v>44758</v>
      </c>
      <c r="F16" t="str">
        <f t="shared" si="4"/>
        <v>28-я нед. 2022</v>
      </c>
      <c r="G16" t="str">
        <f t="shared" si="5"/>
        <v>июл 2022</v>
      </c>
      <c r="H16">
        <v>34</v>
      </c>
      <c r="I16">
        <f t="shared" si="6"/>
        <v>92</v>
      </c>
      <c r="J16">
        <f t="shared" si="7"/>
        <v>193</v>
      </c>
      <c r="K16" s="5">
        <f t="shared" si="8"/>
        <v>0.36956521739130432</v>
      </c>
      <c r="L16" s="5">
        <f t="shared" si="9"/>
        <v>0.17616580310880828</v>
      </c>
      <c r="Z16" s="3">
        <v>44837</v>
      </c>
      <c r="AA16">
        <v>40</v>
      </c>
      <c r="AB16">
        <v>2022</v>
      </c>
      <c r="AC16" t="s">
        <v>22</v>
      </c>
      <c r="AD16">
        <v>207</v>
      </c>
    </row>
    <row r="17" spans="1:30" x14ac:dyDescent="0.25">
      <c r="A17">
        <f t="shared" si="0"/>
        <v>28</v>
      </c>
      <c r="B17">
        <f t="shared" si="1"/>
        <v>7</v>
      </c>
      <c r="C17" t="str">
        <f t="shared" si="2"/>
        <v>июл</v>
      </c>
      <c r="D17">
        <f t="shared" si="3"/>
        <v>2022</v>
      </c>
      <c r="E17" s="3">
        <v>44759</v>
      </c>
      <c r="F17" t="str">
        <f t="shared" si="4"/>
        <v>28-я нед. 2022</v>
      </c>
      <c r="G17" t="str">
        <f t="shared" si="5"/>
        <v>июл 2022</v>
      </c>
      <c r="H17">
        <v>39</v>
      </c>
      <c r="I17">
        <f t="shared" si="6"/>
        <v>92</v>
      </c>
      <c r="J17">
        <f t="shared" si="7"/>
        <v>193</v>
      </c>
      <c r="K17" s="5">
        <f t="shared" si="8"/>
        <v>0.42391304347826086</v>
      </c>
      <c r="L17" s="5">
        <f t="shared" si="9"/>
        <v>0.20207253886010362</v>
      </c>
      <c r="Z17" s="3">
        <v>44844</v>
      </c>
      <c r="AA17">
        <v>41</v>
      </c>
      <c r="AB17">
        <v>2022</v>
      </c>
      <c r="AC17" t="s">
        <v>23</v>
      </c>
      <c r="AD17">
        <v>204</v>
      </c>
    </row>
    <row r="18" spans="1:30" x14ac:dyDescent="0.25">
      <c r="A18">
        <f t="shared" si="0"/>
        <v>29</v>
      </c>
      <c r="B18">
        <f t="shared" si="1"/>
        <v>7</v>
      </c>
      <c r="C18" t="str">
        <f t="shared" si="2"/>
        <v>июл</v>
      </c>
      <c r="D18">
        <f t="shared" si="3"/>
        <v>2022</v>
      </c>
      <c r="E18" s="3">
        <v>44760</v>
      </c>
      <c r="F18" t="str">
        <f t="shared" si="4"/>
        <v>29-я нед. 2022</v>
      </c>
      <c r="G18" t="str">
        <f t="shared" si="5"/>
        <v>июл 2022</v>
      </c>
      <c r="H18">
        <v>22</v>
      </c>
      <c r="I18">
        <f t="shared" si="6"/>
        <v>133</v>
      </c>
      <c r="J18">
        <f t="shared" si="7"/>
        <v>193</v>
      </c>
      <c r="K18" s="5">
        <f t="shared" si="8"/>
        <v>0.16541353383458646</v>
      </c>
      <c r="L18" s="5">
        <f t="shared" si="9"/>
        <v>0.11398963730569948</v>
      </c>
      <c r="Z18" s="3">
        <v>44851</v>
      </c>
      <c r="AA18">
        <v>42</v>
      </c>
      <c r="AB18">
        <v>2022</v>
      </c>
      <c r="AC18" t="s">
        <v>24</v>
      </c>
      <c r="AD18">
        <v>201</v>
      </c>
    </row>
    <row r="19" spans="1:30" x14ac:dyDescent="0.25">
      <c r="A19">
        <f t="shared" si="0"/>
        <v>29</v>
      </c>
      <c r="B19">
        <f t="shared" si="1"/>
        <v>7</v>
      </c>
      <c r="C19" t="str">
        <f t="shared" si="2"/>
        <v>июл</v>
      </c>
      <c r="D19">
        <f t="shared" si="3"/>
        <v>2022</v>
      </c>
      <c r="E19" s="3">
        <v>44761</v>
      </c>
      <c r="F19" t="str">
        <f t="shared" si="4"/>
        <v>29-я нед. 2022</v>
      </c>
      <c r="G19" t="str">
        <f t="shared" si="5"/>
        <v>июл 2022</v>
      </c>
      <c r="H19">
        <v>38</v>
      </c>
      <c r="I19">
        <f t="shared" si="6"/>
        <v>133</v>
      </c>
      <c r="J19">
        <f t="shared" si="7"/>
        <v>193</v>
      </c>
      <c r="K19" s="5">
        <f t="shared" si="8"/>
        <v>0.2857142857142857</v>
      </c>
      <c r="L19" s="5">
        <f t="shared" si="9"/>
        <v>0.19689119170984457</v>
      </c>
      <c r="Z19" s="3">
        <v>44858</v>
      </c>
      <c r="AA19">
        <v>43</v>
      </c>
      <c r="AB19">
        <v>2022</v>
      </c>
      <c r="AC19" t="s">
        <v>25</v>
      </c>
      <c r="AD19">
        <v>213</v>
      </c>
    </row>
    <row r="20" spans="1:30" x14ac:dyDescent="0.25">
      <c r="A20">
        <f t="shared" si="0"/>
        <v>29</v>
      </c>
      <c r="B20">
        <f t="shared" si="1"/>
        <v>7</v>
      </c>
      <c r="C20" t="str">
        <f t="shared" si="2"/>
        <v>июл</v>
      </c>
      <c r="D20">
        <f t="shared" si="3"/>
        <v>2022</v>
      </c>
      <c r="E20" s="3">
        <v>44762</v>
      </c>
      <c r="F20" t="str">
        <f t="shared" si="4"/>
        <v>29-я нед. 2022</v>
      </c>
      <c r="G20" t="str">
        <f t="shared" si="5"/>
        <v>июл 2022</v>
      </c>
      <c r="H20">
        <v>34</v>
      </c>
      <c r="I20">
        <f t="shared" si="6"/>
        <v>133</v>
      </c>
      <c r="J20">
        <f t="shared" si="7"/>
        <v>193</v>
      </c>
      <c r="K20" s="5">
        <f t="shared" si="8"/>
        <v>0.25563909774436089</v>
      </c>
      <c r="L20" s="5">
        <f t="shared" si="9"/>
        <v>0.17616580310880828</v>
      </c>
      <c r="Z20" s="3">
        <v>44865</v>
      </c>
      <c r="AA20">
        <v>44</v>
      </c>
      <c r="AB20">
        <v>2022</v>
      </c>
      <c r="AC20" t="s">
        <v>26</v>
      </c>
      <c r="AD20">
        <v>214</v>
      </c>
    </row>
    <row r="21" spans="1:30" x14ac:dyDescent="0.25">
      <c r="A21">
        <f t="shared" si="0"/>
        <v>29</v>
      </c>
      <c r="B21">
        <f t="shared" si="1"/>
        <v>7</v>
      </c>
      <c r="C21" t="str">
        <f t="shared" si="2"/>
        <v>июл</v>
      </c>
      <c r="D21">
        <f t="shared" si="3"/>
        <v>2022</v>
      </c>
      <c r="E21" s="3">
        <v>44763</v>
      </c>
      <c r="F21" t="str">
        <f t="shared" si="4"/>
        <v>29-я нед. 2022</v>
      </c>
      <c r="G21" t="str">
        <f t="shared" si="5"/>
        <v>июл 2022</v>
      </c>
      <c r="H21">
        <v>50</v>
      </c>
      <c r="I21">
        <f t="shared" si="6"/>
        <v>133</v>
      </c>
      <c r="J21">
        <f t="shared" si="7"/>
        <v>193</v>
      </c>
      <c r="K21" s="5">
        <f t="shared" si="8"/>
        <v>0.37593984962406013</v>
      </c>
      <c r="L21" s="5">
        <f t="shared" si="9"/>
        <v>0.25906735751295334</v>
      </c>
      <c r="Z21" s="3">
        <v>44872</v>
      </c>
      <c r="AA21">
        <v>45</v>
      </c>
      <c r="AB21">
        <v>2022</v>
      </c>
      <c r="AC21" t="s">
        <v>27</v>
      </c>
      <c r="AD21">
        <v>203</v>
      </c>
    </row>
    <row r="22" spans="1:30" x14ac:dyDescent="0.25">
      <c r="A22">
        <f t="shared" si="0"/>
        <v>29</v>
      </c>
      <c r="B22">
        <f t="shared" si="1"/>
        <v>7</v>
      </c>
      <c r="C22" t="str">
        <f t="shared" si="2"/>
        <v>июл</v>
      </c>
      <c r="D22">
        <f t="shared" si="3"/>
        <v>2022</v>
      </c>
      <c r="E22" s="3">
        <v>44764</v>
      </c>
      <c r="F22" t="str">
        <f t="shared" si="4"/>
        <v>29-я нед. 2022</v>
      </c>
      <c r="G22" t="str">
        <f t="shared" si="5"/>
        <v>июл 2022</v>
      </c>
      <c r="H22">
        <v>43</v>
      </c>
      <c r="I22">
        <f t="shared" si="6"/>
        <v>133</v>
      </c>
      <c r="J22">
        <f t="shared" si="7"/>
        <v>193</v>
      </c>
      <c r="K22" s="5">
        <f t="shared" si="8"/>
        <v>0.32330827067669171</v>
      </c>
      <c r="L22" s="5">
        <f t="shared" si="9"/>
        <v>0.22279792746113988</v>
      </c>
      <c r="Z22" s="3">
        <v>44879</v>
      </c>
      <c r="AA22">
        <v>46</v>
      </c>
      <c r="AB22">
        <v>2022</v>
      </c>
      <c r="AC22" t="s">
        <v>28</v>
      </c>
      <c r="AD22">
        <v>202</v>
      </c>
    </row>
    <row r="23" spans="1:30" x14ac:dyDescent="0.25">
      <c r="A23">
        <f t="shared" si="0"/>
        <v>29</v>
      </c>
      <c r="B23">
        <f t="shared" si="1"/>
        <v>7</v>
      </c>
      <c r="C23" t="str">
        <f t="shared" si="2"/>
        <v>июл</v>
      </c>
      <c r="D23">
        <f t="shared" si="3"/>
        <v>2022</v>
      </c>
      <c r="E23" s="3">
        <v>44765</v>
      </c>
      <c r="F23" t="str">
        <f t="shared" si="4"/>
        <v>29-я нед. 2022</v>
      </c>
      <c r="G23" t="str">
        <f t="shared" si="5"/>
        <v>июл 2022</v>
      </c>
      <c r="H23">
        <v>43</v>
      </c>
      <c r="I23">
        <f t="shared" si="6"/>
        <v>133</v>
      </c>
      <c r="J23">
        <f t="shared" si="7"/>
        <v>193</v>
      </c>
      <c r="K23" s="5">
        <f t="shared" si="8"/>
        <v>0.32330827067669171</v>
      </c>
      <c r="L23" s="5">
        <f t="shared" si="9"/>
        <v>0.22279792746113988</v>
      </c>
      <c r="Z23" s="3">
        <v>44886</v>
      </c>
      <c r="AA23">
        <v>47</v>
      </c>
      <c r="AB23">
        <v>2022</v>
      </c>
      <c r="AC23" t="s">
        <v>29</v>
      </c>
      <c r="AD23">
        <v>167</v>
      </c>
    </row>
    <row r="24" spans="1:30" x14ac:dyDescent="0.25">
      <c r="A24">
        <f t="shared" si="0"/>
        <v>29</v>
      </c>
      <c r="B24">
        <f t="shared" si="1"/>
        <v>7</v>
      </c>
      <c r="C24" t="str">
        <f t="shared" si="2"/>
        <v>июл</v>
      </c>
      <c r="D24">
        <f t="shared" si="3"/>
        <v>2022</v>
      </c>
      <c r="E24" s="3">
        <v>44766</v>
      </c>
      <c r="F24" t="str">
        <f t="shared" si="4"/>
        <v>29-я нед. 2022</v>
      </c>
      <c r="G24" t="str">
        <f t="shared" si="5"/>
        <v>июл 2022</v>
      </c>
      <c r="H24">
        <v>53</v>
      </c>
      <c r="I24">
        <f t="shared" si="6"/>
        <v>133</v>
      </c>
      <c r="J24">
        <f t="shared" si="7"/>
        <v>193</v>
      </c>
      <c r="K24" s="5">
        <f t="shared" si="8"/>
        <v>0.39849624060150374</v>
      </c>
      <c r="L24" s="5">
        <f t="shared" si="9"/>
        <v>0.27461139896373055</v>
      </c>
      <c r="Z24" s="3">
        <v>44893</v>
      </c>
      <c r="AA24">
        <v>48</v>
      </c>
      <c r="AB24">
        <v>2022</v>
      </c>
      <c r="AC24" t="s">
        <v>30</v>
      </c>
      <c r="AD24">
        <v>157</v>
      </c>
    </row>
    <row r="25" spans="1:30" x14ac:dyDescent="0.25">
      <c r="A25">
        <f t="shared" si="0"/>
        <v>30</v>
      </c>
      <c r="B25">
        <f t="shared" si="1"/>
        <v>7</v>
      </c>
      <c r="C25" t="str">
        <f t="shared" si="2"/>
        <v>июл</v>
      </c>
      <c r="D25">
        <f t="shared" si="3"/>
        <v>2022</v>
      </c>
      <c r="E25" s="3">
        <v>44767</v>
      </c>
      <c r="F25" t="str">
        <f t="shared" si="4"/>
        <v>30-я нед. 2022</v>
      </c>
      <c r="G25" t="str">
        <f t="shared" si="5"/>
        <v>июл 2022</v>
      </c>
      <c r="H25">
        <v>63</v>
      </c>
      <c r="I25">
        <f t="shared" si="6"/>
        <v>183</v>
      </c>
      <c r="J25">
        <f t="shared" si="7"/>
        <v>193</v>
      </c>
      <c r="K25" s="5">
        <f t="shared" si="8"/>
        <v>0.34426229508196721</v>
      </c>
      <c r="L25" s="5">
        <f t="shared" si="9"/>
        <v>0.32642487046632124</v>
      </c>
      <c r="Z25" s="3">
        <v>44900</v>
      </c>
      <c r="AA25">
        <v>49</v>
      </c>
      <c r="AB25">
        <v>2022</v>
      </c>
      <c r="AC25" t="s">
        <v>31</v>
      </c>
      <c r="AD25">
        <v>156</v>
      </c>
    </row>
    <row r="26" spans="1:30" x14ac:dyDescent="0.25">
      <c r="A26">
        <f t="shared" si="0"/>
        <v>30</v>
      </c>
      <c r="B26">
        <f t="shared" si="1"/>
        <v>7</v>
      </c>
      <c r="C26" t="str">
        <f t="shared" si="2"/>
        <v>июл</v>
      </c>
      <c r="D26">
        <f t="shared" si="3"/>
        <v>2022</v>
      </c>
      <c r="E26" s="3">
        <v>44768</v>
      </c>
      <c r="F26" t="str">
        <f t="shared" si="4"/>
        <v>30-я нед. 2022</v>
      </c>
      <c r="G26" t="str">
        <f t="shared" si="5"/>
        <v>июл 2022</v>
      </c>
      <c r="H26">
        <v>48</v>
      </c>
      <c r="I26">
        <f t="shared" si="6"/>
        <v>183</v>
      </c>
      <c r="J26">
        <f t="shared" si="7"/>
        <v>193</v>
      </c>
      <c r="K26" s="5">
        <f t="shared" si="8"/>
        <v>0.26229508196721313</v>
      </c>
      <c r="L26" s="5">
        <f t="shared" si="9"/>
        <v>0.24870466321243523</v>
      </c>
      <c r="Z26" s="3">
        <v>44907</v>
      </c>
      <c r="AA26">
        <v>50</v>
      </c>
      <c r="AB26">
        <v>2022</v>
      </c>
      <c r="AC26" t="s">
        <v>32</v>
      </c>
      <c r="AD26">
        <v>153</v>
      </c>
    </row>
    <row r="27" spans="1:30" x14ac:dyDescent="0.25">
      <c r="A27">
        <f t="shared" si="0"/>
        <v>30</v>
      </c>
      <c r="B27">
        <f t="shared" si="1"/>
        <v>7</v>
      </c>
      <c r="C27" t="str">
        <f t="shared" si="2"/>
        <v>июл</v>
      </c>
      <c r="D27">
        <f t="shared" si="3"/>
        <v>2022</v>
      </c>
      <c r="E27" s="3">
        <v>44769</v>
      </c>
      <c r="F27" t="str">
        <f t="shared" si="4"/>
        <v>30-я нед. 2022</v>
      </c>
      <c r="G27" t="str">
        <f t="shared" si="5"/>
        <v>июл 2022</v>
      </c>
      <c r="H27">
        <v>59</v>
      </c>
      <c r="I27">
        <f t="shared" si="6"/>
        <v>183</v>
      </c>
      <c r="J27">
        <f t="shared" si="7"/>
        <v>193</v>
      </c>
      <c r="K27" s="5">
        <f t="shared" si="8"/>
        <v>0.32240437158469948</v>
      </c>
      <c r="L27" s="5">
        <f t="shared" si="9"/>
        <v>0.30569948186528495</v>
      </c>
      <c r="Z27" s="3">
        <v>44914</v>
      </c>
      <c r="AA27">
        <v>51</v>
      </c>
      <c r="AB27">
        <v>2022</v>
      </c>
      <c r="AC27" t="s">
        <v>33</v>
      </c>
      <c r="AD27">
        <v>145</v>
      </c>
    </row>
    <row r="28" spans="1:30" x14ac:dyDescent="0.25">
      <c r="A28">
        <f t="shared" si="0"/>
        <v>30</v>
      </c>
      <c r="B28">
        <f t="shared" si="1"/>
        <v>7</v>
      </c>
      <c r="C28" t="str">
        <f t="shared" si="2"/>
        <v>июл</v>
      </c>
      <c r="D28">
        <f t="shared" si="3"/>
        <v>2022</v>
      </c>
      <c r="E28" s="3">
        <v>44770</v>
      </c>
      <c r="F28" t="str">
        <f t="shared" si="4"/>
        <v>30-я нед. 2022</v>
      </c>
      <c r="G28" t="str">
        <f t="shared" si="5"/>
        <v>июл 2022</v>
      </c>
      <c r="H28">
        <v>59</v>
      </c>
      <c r="I28">
        <f t="shared" si="6"/>
        <v>183</v>
      </c>
      <c r="J28">
        <f t="shared" si="7"/>
        <v>193</v>
      </c>
      <c r="K28" s="5">
        <f t="shared" si="8"/>
        <v>0.32240437158469948</v>
      </c>
      <c r="L28" s="5">
        <f t="shared" si="9"/>
        <v>0.30569948186528495</v>
      </c>
      <c r="Z28" s="3">
        <v>44921</v>
      </c>
      <c r="AA28">
        <v>52</v>
      </c>
      <c r="AB28">
        <v>2022</v>
      </c>
      <c r="AC28" t="s">
        <v>34</v>
      </c>
      <c r="AD28">
        <v>141</v>
      </c>
    </row>
    <row r="29" spans="1:30" x14ac:dyDescent="0.25">
      <c r="A29">
        <f t="shared" si="0"/>
        <v>30</v>
      </c>
      <c r="B29">
        <f t="shared" si="1"/>
        <v>7</v>
      </c>
      <c r="C29" t="str">
        <f t="shared" si="2"/>
        <v>июл</v>
      </c>
      <c r="D29">
        <f t="shared" si="3"/>
        <v>2022</v>
      </c>
      <c r="E29" s="3">
        <v>44771</v>
      </c>
      <c r="F29" t="str">
        <f t="shared" si="4"/>
        <v>30-я нед. 2022</v>
      </c>
      <c r="G29" t="str">
        <f t="shared" si="5"/>
        <v>июл 2022</v>
      </c>
      <c r="H29">
        <v>61</v>
      </c>
      <c r="I29">
        <f t="shared" si="6"/>
        <v>183</v>
      </c>
      <c r="J29">
        <f t="shared" si="7"/>
        <v>193</v>
      </c>
      <c r="K29" s="5">
        <f t="shared" si="8"/>
        <v>0.33333333333333331</v>
      </c>
      <c r="L29" s="5">
        <f t="shared" si="9"/>
        <v>0.31606217616580312</v>
      </c>
      <c r="Z29" s="3">
        <v>44928</v>
      </c>
      <c r="AA29">
        <v>1</v>
      </c>
      <c r="AB29">
        <v>2023</v>
      </c>
      <c r="AC29" t="s">
        <v>35</v>
      </c>
      <c r="AD29">
        <v>190</v>
      </c>
    </row>
    <row r="30" spans="1:30" x14ac:dyDescent="0.25">
      <c r="A30">
        <f t="shared" si="0"/>
        <v>30</v>
      </c>
      <c r="B30">
        <f t="shared" si="1"/>
        <v>7</v>
      </c>
      <c r="C30" t="str">
        <f t="shared" si="2"/>
        <v>июл</v>
      </c>
      <c r="D30">
        <f t="shared" si="3"/>
        <v>2022</v>
      </c>
      <c r="E30" s="3">
        <v>44772</v>
      </c>
      <c r="F30" t="str">
        <f t="shared" si="4"/>
        <v>30-я нед. 2022</v>
      </c>
      <c r="G30" t="str">
        <f t="shared" si="5"/>
        <v>июл 2022</v>
      </c>
      <c r="H30">
        <v>64</v>
      </c>
      <c r="I30">
        <f t="shared" si="6"/>
        <v>183</v>
      </c>
      <c r="J30">
        <f t="shared" si="7"/>
        <v>193</v>
      </c>
      <c r="K30" s="5">
        <f t="shared" si="8"/>
        <v>0.34972677595628415</v>
      </c>
      <c r="L30" s="5">
        <f t="shared" si="9"/>
        <v>0.33160621761658032</v>
      </c>
      <c r="Z30" s="3">
        <v>44935</v>
      </c>
      <c r="AA30">
        <v>2</v>
      </c>
      <c r="AB30">
        <v>2023</v>
      </c>
      <c r="AC30" t="s">
        <v>36</v>
      </c>
      <c r="AD30">
        <v>233</v>
      </c>
    </row>
    <row r="31" spans="1:30" x14ac:dyDescent="0.25">
      <c r="A31">
        <f t="shared" si="0"/>
        <v>30</v>
      </c>
      <c r="B31">
        <f t="shared" si="1"/>
        <v>7</v>
      </c>
      <c r="C31" t="str">
        <f t="shared" si="2"/>
        <v>июл</v>
      </c>
      <c r="D31">
        <f t="shared" si="3"/>
        <v>2022</v>
      </c>
      <c r="E31" s="3">
        <v>44773</v>
      </c>
      <c r="F31" t="str">
        <f t="shared" si="4"/>
        <v>30-я нед. 2022</v>
      </c>
      <c r="G31" t="str">
        <f t="shared" si="5"/>
        <v>июл 2022</v>
      </c>
      <c r="H31">
        <v>64</v>
      </c>
      <c r="I31">
        <f t="shared" si="6"/>
        <v>183</v>
      </c>
      <c r="J31">
        <f t="shared" si="7"/>
        <v>193</v>
      </c>
      <c r="K31" s="5">
        <f t="shared" si="8"/>
        <v>0.34972677595628415</v>
      </c>
      <c r="L31" s="5">
        <f t="shared" si="9"/>
        <v>0.33160621761658032</v>
      </c>
      <c r="Z31" s="3">
        <v>44942</v>
      </c>
      <c r="AA31">
        <v>3</v>
      </c>
      <c r="AB31">
        <v>2023</v>
      </c>
      <c r="AC31" t="s">
        <v>37</v>
      </c>
      <c r="AD31">
        <v>272</v>
      </c>
    </row>
    <row r="32" spans="1:30" x14ac:dyDescent="0.25">
      <c r="A32">
        <f t="shared" si="0"/>
        <v>31</v>
      </c>
      <c r="B32">
        <f t="shared" si="1"/>
        <v>8</v>
      </c>
      <c r="C32" t="str">
        <f t="shared" si="2"/>
        <v>авг</v>
      </c>
      <c r="D32">
        <f t="shared" si="3"/>
        <v>2022</v>
      </c>
      <c r="E32" s="3">
        <v>44774</v>
      </c>
      <c r="F32" t="str">
        <f t="shared" si="4"/>
        <v>31-я нед. 2022</v>
      </c>
      <c r="G32" t="str">
        <f t="shared" si="5"/>
        <v>авг 2022</v>
      </c>
      <c r="H32">
        <v>52</v>
      </c>
      <c r="I32">
        <f t="shared" si="6"/>
        <v>202</v>
      </c>
      <c r="J32">
        <f t="shared" si="7"/>
        <v>366</v>
      </c>
      <c r="K32" s="5">
        <f t="shared" si="8"/>
        <v>0.25742574257425743</v>
      </c>
      <c r="L32" s="5">
        <f t="shared" si="9"/>
        <v>0.14207650273224043</v>
      </c>
      <c r="Z32" s="3">
        <v>44949</v>
      </c>
      <c r="AA32">
        <v>4</v>
      </c>
      <c r="AB32">
        <v>2023</v>
      </c>
      <c r="AC32" t="s">
        <v>38</v>
      </c>
      <c r="AD32">
        <v>295</v>
      </c>
    </row>
    <row r="33" spans="1:30" x14ac:dyDescent="0.25">
      <c r="A33">
        <f t="shared" si="0"/>
        <v>31</v>
      </c>
      <c r="B33">
        <f t="shared" si="1"/>
        <v>8</v>
      </c>
      <c r="C33" t="str">
        <f t="shared" si="2"/>
        <v>авг</v>
      </c>
      <c r="D33">
        <f t="shared" si="3"/>
        <v>2022</v>
      </c>
      <c r="E33" s="3">
        <v>44775</v>
      </c>
      <c r="F33" t="str">
        <f t="shared" si="4"/>
        <v>31-я нед. 2022</v>
      </c>
      <c r="G33" t="str">
        <f t="shared" si="5"/>
        <v>авг 2022</v>
      </c>
      <c r="H33">
        <v>62</v>
      </c>
      <c r="I33">
        <f t="shared" si="6"/>
        <v>202</v>
      </c>
      <c r="J33">
        <f t="shared" si="7"/>
        <v>366</v>
      </c>
      <c r="K33" s="5">
        <f t="shared" si="8"/>
        <v>0.30693069306930693</v>
      </c>
      <c r="L33" s="5">
        <f t="shared" si="9"/>
        <v>0.16939890710382513</v>
      </c>
      <c r="Z33" s="3">
        <v>44956</v>
      </c>
      <c r="AA33">
        <v>5</v>
      </c>
      <c r="AB33">
        <v>2023</v>
      </c>
      <c r="AC33" t="s">
        <v>39</v>
      </c>
      <c r="AD33">
        <v>346</v>
      </c>
    </row>
    <row r="34" spans="1:30" x14ac:dyDescent="0.25">
      <c r="A34">
        <f t="shared" si="0"/>
        <v>31</v>
      </c>
      <c r="B34">
        <f t="shared" si="1"/>
        <v>8</v>
      </c>
      <c r="C34" t="str">
        <f t="shared" si="2"/>
        <v>авг</v>
      </c>
      <c r="D34">
        <f t="shared" si="3"/>
        <v>2022</v>
      </c>
      <c r="E34" s="3">
        <v>44776</v>
      </c>
      <c r="F34" t="str">
        <f t="shared" si="4"/>
        <v>31-я нед. 2022</v>
      </c>
      <c r="G34" t="str">
        <f t="shared" si="5"/>
        <v>авг 2022</v>
      </c>
      <c r="H34">
        <v>55</v>
      </c>
      <c r="I34">
        <f t="shared" si="6"/>
        <v>202</v>
      </c>
      <c r="J34">
        <f t="shared" si="7"/>
        <v>366</v>
      </c>
      <c r="K34" s="5">
        <f t="shared" si="8"/>
        <v>0.2722772277227723</v>
      </c>
      <c r="L34" s="5">
        <f t="shared" si="9"/>
        <v>0.15027322404371585</v>
      </c>
      <c r="Z34" s="3">
        <v>44963</v>
      </c>
      <c r="AA34">
        <v>6</v>
      </c>
      <c r="AB34">
        <v>2023</v>
      </c>
      <c r="AC34" t="s">
        <v>40</v>
      </c>
      <c r="AD34">
        <v>340</v>
      </c>
    </row>
    <row r="35" spans="1:30" x14ac:dyDescent="0.25">
      <c r="A35">
        <f t="shared" si="0"/>
        <v>31</v>
      </c>
      <c r="B35">
        <f t="shared" si="1"/>
        <v>8</v>
      </c>
      <c r="C35" t="str">
        <f t="shared" si="2"/>
        <v>авг</v>
      </c>
      <c r="D35">
        <f t="shared" si="3"/>
        <v>2022</v>
      </c>
      <c r="E35" s="3">
        <v>44777</v>
      </c>
      <c r="F35" t="str">
        <f t="shared" si="4"/>
        <v>31-я нед. 2022</v>
      </c>
      <c r="G35" t="str">
        <f t="shared" si="5"/>
        <v>авг 2022</v>
      </c>
      <c r="H35">
        <v>60</v>
      </c>
      <c r="I35">
        <f t="shared" si="6"/>
        <v>202</v>
      </c>
      <c r="J35">
        <f t="shared" si="7"/>
        <v>366</v>
      </c>
      <c r="K35" s="5">
        <f t="shared" si="8"/>
        <v>0.29702970297029702</v>
      </c>
      <c r="L35" s="5">
        <f t="shared" si="9"/>
        <v>0.16393442622950818</v>
      </c>
      <c r="Z35" s="3">
        <v>44970</v>
      </c>
      <c r="AA35">
        <v>7</v>
      </c>
      <c r="AB35">
        <v>2023</v>
      </c>
      <c r="AC35" t="s">
        <v>41</v>
      </c>
      <c r="AD35">
        <v>347</v>
      </c>
    </row>
    <row r="36" spans="1:30" x14ac:dyDescent="0.25">
      <c r="A36">
        <f t="shared" si="0"/>
        <v>31</v>
      </c>
      <c r="B36">
        <f t="shared" si="1"/>
        <v>8</v>
      </c>
      <c r="C36" t="str">
        <f t="shared" si="2"/>
        <v>авг</v>
      </c>
      <c r="D36">
        <f t="shared" si="3"/>
        <v>2022</v>
      </c>
      <c r="E36" s="3">
        <v>44778</v>
      </c>
      <c r="F36" t="str">
        <f t="shared" si="4"/>
        <v>31-я нед. 2022</v>
      </c>
      <c r="G36" t="str">
        <f t="shared" si="5"/>
        <v>авг 2022</v>
      </c>
      <c r="H36">
        <v>52</v>
      </c>
      <c r="I36">
        <f t="shared" si="6"/>
        <v>202</v>
      </c>
      <c r="J36">
        <f t="shared" si="7"/>
        <v>366</v>
      </c>
      <c r="K36" s="5">
        <f t="shared" si="8"/>
        <v>0.25742574257425743</v>
      </c>
      <c r="L36" s="5">
        <f t="shared" si="9"/>
        <v>0.14207650273224043</v>
      </c>
      <c r="Z36" s="3">
        <v>44977</v>
      </c>
      <c r="AA36">
        <v>8</v>
      </c>
      <c r="AB36">
        <v>2023</v>
      </c>
      <c r="AC36" t="s">
        <v>42</v>
      </c>
      <c r="AD36">
        <v>384</v>
      </c>
    </row>
    <row r="37" spans="1:30" x14ac:dyDescent="0.25">
      <c r="A37">
        <f t="shared" si="0"/>
        <v>31</v>
      </c>
      <c r="B37">
        <f t="shared" si="1"/>
        <v>8</v>
      </c>
      <c r="C37" t="str">
        <f t="shared" si="2"/>
        <v>авг</v>
      </c>
      <c r="D37">
        <f t="shared" si="3"/>
        <v>2022</v>
      </c>
      <c r="E37" s="3">
        <v>44779</v>
      </c>
      <c r="F37" t="str">
        <f t="shared" si="4"/>
        <v>31-я нед. 2022</v>
      </c>
      <c r="G37" t="str">
        <f t="shared" si="5"/>
        <v>авг 2022</v>
      </c>
      <c r="H37">
        <v>62</v>
      </c>
      <c r="I37">
        <f t="shared" si="6"/>
        <v>202</v>
      </c>
      <c r="J37">
        <f t="shared" si="7"/>
        <v>366</v>
      </c>
      <c r="K37" s="5">
        <f t="shared" si="8"/>
        <v>0.30693069306930693</v>
      </c>
      <c r="L37" s="5">
        <f t="shared" si="9"/>
        <v>0.16939890710382513</v>
      </c>
      <c r="Z37" s="3">
        <v>44984</v>
      </c>
      <c r="AA37">
        <v>9</v>
      </c>
      <c r="AB37">
        <v>2023</v>
      </c>
      <c r="AC37" t="s">
        <v>43</v>
      </c>
      <c r="AD37">
        <v>611</v>
      </c>
    </row>
    <row r="38" spans="1:30" x14ac:dyDescent="0.25">
      <c r="A38">
        <f t="shared" si="0"/>
        <v>31</v>
      </c>
      <c r="B38">
        <f t="shared" si="1"/>
        <v>8</v>
      </c>
      <c r="C38" t="str">
        <f t="shared" si="2"/>
        <v>авг</v>
      </c>
      <c r="D38">
        <f t="shared" si="3"/>
        <v>2022</v>
      </c>
      <c r="E38" s="3">
        <v>44780</v>
      </c>
      <c r="F38" t="str">
        <f t="shared" si="4"/>
        <v>31-я нед. 2022</v>
      </c>
      <c r="G38" t="str">
        <f t="shared" si="5"/>
        <v>авг 2022</v>
      </c>
      <c r="H38">
        <v>59</v>
      </c>
      <c r="I38">
        <f t="shared" si="6"/>
        <v>202</v>
      </c>
      <c r="J38">
        <f t="shared" si="7"/>
        <v>366</v>
      </c>
      <c r="K38" s="5">
        <f t="shared" si="8"/>
        <v>0.29207920792079206</v>
      </c>
      <c r="L38" s="5">
        <f t="shared" si="9"/>
        <v>0.16120218579234974</v>
      </c>
      <c r="Z38" s="3">
        <v>44991</v>
      </c>
      <c r="AA38">
        <v>10</v>
      </c>
      <c r="AB38">
        <v>2023</v>
      </c>
      <c r="AC38" t="s">
        <v>44</v>
      </c>
      <c r="AD38">
        <v>712</v>
      </c>
    </row>
    <row r="39" spans="1:30" x14ac:dyDescent="0.25">
      <c r="A39">
        <f t="shared" si="0"/>
        <v>32</v>
      </c>
      <c r="B39">
        <f t="shared" si="1"/>
        <v>8</v>
      </c>
      <c r="C39" t="str">
        <f t="shared" si="2"/>
        <v>авг</v>
      </c>
      <c r="D39">
        <f t="shared" si="3"/>
        <v>2022</v>
      </c>
      <c r="E39" s="3">
        <v>44781</v>
      </c>
      <c r="F39" t="str">
        <f t="shared" si="4"/>
        <v>32-я нед. 2022</v>
      </c>
      <c r="G39" t="str">
        <f t="shared" si="5"/>
        <v>авг 2022</v>
      </c>
      <c r="H39">
        <v>58</v>
      </c>
      <c r="I39">
        <f t="shared" si="6"/>
        <v>193</v>
      </c>
      <c r="J39">
        <f t="shared" si="7"/>
        <v>366</v>
      </c>
      <c r="K39" s="5">
        <f t="shared" si="8"/>
        <v>0.30051813471502592</v>
      </c>
      <c r="L39" s="5">
        <f t="shared" si="9"/>
        <v>0.15846994535519127</v>
      </c>
      <c r="Z39" s="3">
        <v>44998</v>
      </c>
      <c r="AA39">
        <v>11</v>
      </c>
      <c r="AB39">
        <v>2023</v>
      </c>
      <c r="AC39" t="s">
        <v>45</v>
      </c>
      <c r="AD39">
        <v>772</v>
      </c>
    </row>
    <row r="40" spans="1:30" x14ac:dyDescent="0.25">
      <c r="A40">
        <f t="shared" si="0"/>
        <v>32</v>
      </c>
      <c r="B40">
        <f t="shared" si="1"/>
        <v>8</v>
      </c>
      <c r="C40" t="str">
        <f t="shared" si="2"/>
        <v>авг</v>
      </c>
      <c r="D40">
        <f t="shared" si="3"/>
        <v>2022</v>
      </c>
      <c r="E40" s="3">
        <v>44782</v>
      </c>
      <c r="F40" t="str">
        <f t="shared" si="4"/>
        <v>32-я нед. 2022</v>
      </c>
      <c r="G40" t="str">
        <f t="shared" si="5"/>
        <v>авг 2022</v>
      </c>
      <c r="H40">
        <v>53</v>
      </c>
      <c r="I40">
        <f t="shared" si="6"/>
        <v>193</v>
      </c>
      <c r="J40">
        <f t="shared" si="7"/>
        <v>366</v>
      </c>
      <c r="K40" s="5">
        <f t="shared" si="8"/>
        <v>0.27461139896373055</v>
      </c>
      <c r="L40" s="5">
        <f t="shared" si="9"/>
        <v>0.1448087431693989</v>
      </c>
      <c r="Z40" s="3">
        <v>45005</v>
      </c>
      <c r="AA40">
        <v>12</v>
      </c>
      <c r="AB40">
        <v>2023</v>
      </c>
      <c r="AC40" t="s">
        <v>46</v>
      </c>
      <c r="AD40">
        <v>656</v>
      </c>
    </row>
    <row r="41" spans="1:30" x14ac:dyDescent="0.25">
      <c r="A41">
        <f t="shared" si="0"/>
        <v>32</v>
      </c>
      <c r="B41">
        <f t="shared" si="1"/>
        <v>8</v>
      </c>
      <c r="C41" t="str">
        <f t="shared" si="2"/>
        <v>авг</v>
      </c>
      <c r="D41">
        <f t="shared" si="3"/>
        <v>2022</v>
      </c>
      <c r="E41" s="3">
        <v>44783</v>
      </c>
      <c r="F41" t="str">
        <f t="shared" si="4"/>
        <v>32-я нед. 2022</v>
      </c>
      <c r="G41" t="str">
        <f t="shared" si="5"/>
        <v>авг 2022</v>
      </c>
      <c r="H41">
        <v>55</v>
      </c>
      <c r="I41">
        <f t="shared" si="6"/>
        <v>193</v>
      </c>
      <c r="J41">
        <f t="shared" si="7"/>
        <v>366</v>
      </c>
      <c r="K41" s="5">
        <f t="shared" si="8"/>
        <v>0.28497409326424872</v>
      </c>
      <c r="L41" s="5">
        <f t="shared" si="9"/>
        <v>0.15027322404371585</v>
      </c>
      <c r="Z41" s="3">
        <v>45012</v>
      </c>
      <c r="AA41">
        <v>13</v>
      </c>
      <c r="AB41">
        <v>2023</v>
      </c>
      <c r="AC41" t="s">
        <v>47</v>
      </c>
      <c r="AD41">
        <v>661</v>
      </c>
    </row>
    <row r="42" spans="1:30" x14ac:dyDescent="0.25">
      <c r="A42">
        <f t="shared" si="0"/>
        <v>32</v>
      </c>
      <c r="B42">
        <f t="shared" si="1"/>
        <v>8</v>
      </c>
      <c r="C42" t="str">
        <f t="shared" si="2"/>
        <v>авг</v>
      </c>
      <c r="D42">
        <f t="shared" si="3"/>
        <v>2022</v>
      </c>
      <c r="E42" s="3">
        <v>44784</v>
      </c>
      <c r="F42" t="str">
        <f t="shared" si="4"/>
        <v>32-я нед. 2022</v>
      </c>
      <c r="G42" t="str">
        <f t="shared" si="5"/>
        <v>авг 2022</v>
      </c>
      <c r="H42">
        <v>65</v>
      </c>
      <c r="I42">
        <f t="shared" si="6"/>
        <v>193</v>
      </c>
      <c r="J42">
        <f t="shared" si="7"/>
        <v>366</v>
      </c>
      <c r="K42" s="5">
        <f t="shared" si="8"/>
        <v>0.33678756476683935</v>
      </c>
      <c r="L42" s="5">
        <f t="shared" si="9"/>
        <v>0.17759562841530055</v>
      </c>
      <c r="Z42" s="3">
        <v>45019</v>
      </c>
      <c r="AA42">
        <v>14</v>
      </c>
      <c r="AB42">
        <v>2023</v>
      </c>
      <c r="AC42" t="s">
        <v>48</v>
      </c>
      <c r="AD42">
        <v>699</v>
      </c>
    </row>
    <row r="43" spans="1:30" x14ac:dyDescent="0.25">
      <c r="A43">
        <f t="shared" si="0"/>
        <v>32</v>
      </c>
      <c r="B43">
        <f t="shared" si="1"/>
        <v>8</v>
      </c>
      <c r="C43" t="str">
        <f t="shared" si="2"/>
        <v>авг</v>
      </c>
      <c r="D43">
        <f t="shared" si="3"/>
        <v>2022</v>
      </c>
      <c r="E43" s="3">
        <v>44785</v>
      </c>
      <c r="F43" t="str">
        <f t="shared" si="4"/>
        <v>32-я нед. 2022</v>
      </c>
      <c r="G43" t="str">
        <f t="shared" si="5"/>
        <v>авг 2022</v>
      </c>
      <c r="H43">
        <v>54</v>
      </c>
      <c r="I43">
        <f t="shared" si="6"/>
        <v>193</v>
      </c>
      <c r="J43">
        <f t="shared" si="7"/>
        <v>366</v>
      </c>
      <c r="K43" s="5">
        <f t="shared" si="8"/>
        <v>0.27979274611398963</v>
      </c>
      <c r="L43" s="5">
        <f t="shared" si="9"/>
        <v>0.14754098360655737</v>
      </c>
      <c r="Z43" s="3">
        <v>45026</v>
      </c>
      <c r="AA43">
        <v>15</v>
      </c>
      <c r="AB43">
        <v>2023</v>
      </c>
      <c r="AC43" t="s">
        <v>49</v>
      </c>
      <c r="AD43">
        <v>614</v>
      </c>
    </row>
    <row r="44" spans="1:30" x14ac:dyDescent="0.25">
      <c r="A44">
        <f t="shared" si="0"/>
        <v>32</v>
      </c>
      <c r="B44">
        <f t="shared" si="1"/>
        <v>8</v>
      </c>
      <c r="C44" t="str">
        <f t="shared" si="2"/>
        <v>авг</v>
      </c>
      <c r="D44">
        <f t="shared" si="3"/>
        <v>2022</v>
      </c>
      <c r="E44" s="3">
        <v>44786</v>
      </c>
      <c r="F44" t="str">
        <f t="shared" si="4"/>
        <v>32-я нед. 2022</v>
      </c>
      <c r="G44" t="str">
        <f t="shared" si="5"/>
        <v>авг 2022</v>
      </c>
      <c r="H44">
        <v>74</v>
      </c>
      <c r="I44">
        <f t="shared" si="6"/>
        <v>193</v>
      </c>
      <c r="J44">
        <f t="shared" si="7"/>
        <v>366</v>
      </c>
      <c r="K44" s="5">
        <f t="shared" si="8"/>
        <v>0.38341968911917096</v>
      </c>
      <c r="L44" s="5">
        <f t="shared" si="9"/>
        <v>0.20218579234972678</v>
      </c>
      <c r="Z44" s="3">
        <v>45033</v>
      </c>
      <c r="AA44">
        <v>16</v>
      </c>
      <c r="AB44">
        <v>2023</v>
      </c>
      <c r="AC44" t="s">
        <v>50</v>
      </c>
      <c r="AD44">
        <v>545</v>
      </c>
    </row>
    <row r="45" spans="1:30" x14ac:dyDescent="0.25">
      <c r="A45">
        <f t="shared" si="0"/>
        <v>32</v>
      </c>
      <c r="B45">
        <f t="shared" si="1"/>
        <v>8</v>
      </c>
      <c r="C45" t="str">
        <f t="shared" si="2"/>
        <v>авг</v>
      </c>
      <c r="D45">
        <f t="shared" si="3"/>
        <v>2022</v>
      </c>
      <c r="E45" s="3">
        <v>44787</v>
      </c>
      <c r="F45" t="str">
        <f t="shared" si="4"/>
        <v>32-я нед. 2022</v>
      </c>
      <c r="G45" t="str">
        <f t="shared" si="5"/>
        <v>авг 2022</v>
      </c>
      <c r="H45">
        <v>59</v>
      </c>
      <c r="I45">
        <f t="shared" si="6"/>
        <v>193</v>
      </c>
      <c r="J45">
        <f t="shared" si="7"/>
        <v>366</v>
      </c>
      <c r="K45" s="5">
        <f t="shared" si="8"/>
        <v>0.30569948186528495</v>
      </c>
      <c r="L45" s="5">
        <f t="shared" si="9"/>
        <v>0.16120218579234974</v>
      </c>
      <c r="Z45" s="3">
        <v>45040</v>
      </c>
      <c r="AA45">
        <v>17</v>
      </c>
      <c r="AB45">
        <v>2023</v>
      </c>
      <c r="AC45" t="s">
        <v>51</v>
      </c>
      <c r="AD45">
        <v>422</v>
      </c>
    </row>
    <row r="46" spans="1:30" x14ac:dyDescent="0.25">
      <c r="A46">
        <f t="shared" si="0"/>
        <v>33</v>
      </c>
      <c r="B46">
        <f t="shared" si="1"/>
        <v>8</v>
      </c>
      <c r="C46" t="str">
        <f t="shared" si="2"/>
        <v>авг</v>
      </c>
      <c r="D46">
        <f t="shared" si="3"/>
        <v>2022</v>
      </c>
      <c r="E46" s="3">
        <v>44788</v>
      </c>
      <c r="F46" t="str">
        <f t="shared" si="4"/>
        <v>33-я нед. 2022</v>
      </c>
      <c r="G46" t="str">
        <f t="shared" si="5"/>
        <v>авг 2022</v>
      </c>
      <c r="H46">
        <v>54</v>
      </c>
      <c r="I46">
        <f t="shared" si="6"/>
        <v>201</v>
      </c>
      <c r="J46">
        <f t="shared" si="7"/>
        <v>366</v>
      </c>
      <c r="K46" s="5">
        <f t="shared" si="8"/>
        <v>0.26865671641791045</v>
      </c>
      <c r="L46" s="5">
        <f t="shared" si="9"/>
        <v>0.14754098360655737</v>
      </c>
    </row>
    <row r="47" spans="1:30" x14ac:dyDescent="0.25">
      <c r="A47">
        <f t="shared" si="0"/>
        <v>33</v>
      </c>
      <c r="B47">
        <f t="shared" si="1"/>
        <v>8</v>
      </c>
      <c r="C47" t="str">
        <f t="shared" si="2"/>
        <v>авг</v>
      </c>
      <c r="D47">
        <f t="shared" si="3"/>
        <v>2022</v>
      </c>
      <c r="E47" s="3">
        <v>44789</v>
      </c>
      <c r="F47" t="str">
        <f t="shared" si="4"/>
        <v>33-я нед. 2022</v>
      </c>
      <c r="G47" t="str">
        <f t="shared" si="5"/>
        <v>авг 2022</v>
      </c>
      <c r="H47">
        <v>68</v>
      </c>
      <c r="I47">
        <f t="shared" si="6"/>
        <v>201</v>
      </c>
      <c r="J47">
        <f t="shared" si="7"/>
        <v>366</v>
      </c>
      <c r="K47" s="5">
        <f t="shared" si="8"/>
        <v>0.3383084577114428</v>
      </c>
      <c r="L47" s="5">
        <f t="shared" si="9"/>
        <v>0.18579234972677597</v>
      </c>
    </row>
    <row r="48" spans="1:30" x14ac:dyDescent="0.25">
      <c r="A48">
        <f t="shared" si="0"/>
        <v>33</v>
      </c>
      <c r="B48">
        <f t="shared" si="1"/>
        <v>8</v>
      </c>
      <c r="C48" t="str">
        <f t="shared" si="2"/>
        <v>авг</v>
      </c>
      <c r="D48">
        <f t="shared" si="3"/>
        <v>2022</v>
      </c>
      <c r="E48" s="3">
        <v>44790</v>
      </c>
      <c r="F48" t="str">
        <f t="shared" si="4"/>
        <v>33-я нед. 2022</v>
      </c>
      <c r="G48" t="str">
        <f t="shared" si="5"/>
        <v>авг 2022</v>
      </c>
      <c r="H48">
        <v>59</v>
      </c>
      <c r="I48">
        <f t="shared" si="6"/>
        <v>201</v>
      </c>
      <c r="J48">
        <f t="shared" si="7"/>
        <v>366</v>
      </c>
      <c r="K48" s="5">
        <f t="shared" si="8"/>
        <v>0.29353233830845771</v>
      </c>
      <c r="L48" s="5">
        <f t="shared" si="9"/>
        <v>0.16120218579234974</v>
      </c>
    </row>
    <row r="49" spans="1:12" x14ac:dyDescent="0.25">
      <c r="A49">
        <f t="shared" si="0"/>
        <v>33</v>
      </c>
      <c r="B49">
        <f t="shared" si="1"/>
        <v>8</v>
      </c>
      <c r="C49" t="str">
        <f t="shared" si="2"/>
        <v>авг</v>
      </c>
      <c r="D49">
        <f t="shared" si="3"/>
        <v>2022</v>
      </c>
      <c r="E49" s="3">
        <v>44791</v>
      </c>
      <c r="F49" t="str">
        <f t="shared" si="4"/>
        <v>33-я нед. 2022</v>
      </c>
      <c r="G49" t="str">
        <f t="shared" si="5"/>
        <v>авг 2022</v>
      </c>
      <c r="H49">
        <v>61</v>
      </c>
      <c r="I49">
        <f t="shared" si="6"/>
        <v>201</v>
      </c>
      <c r="J49">
        <f t="shared" si="7"/>
        <v>366</v>
      </c>
      <c r="K49" s="5">
        <f t="shared" si="8"/>
        <v>0.30348258706467662</v>
      </c>
      <c r="L49" s="5">
        <f t="shared" si="9"/>
        <v>0.16666666666666666</v>
      </c>
    </row>
    <row r="50" spans="1:12" x14ac:dyDescent="0.25">
      <c r="A50">
        <f t="shared" si="0"/>
        <v>33</v>
      </c>
      <c r="B50">
        <f t="shared" si="1"/>
        <v>8</v>
      </c>
      <c r="C50" t="str">
        <f t="shared" si="2"/>
        <v>авг</v>
      </c>
      <c r="D50">
        <f t="shared" si="3"/>
        <v>2022</v>
      </c>
      <c r="E50" s="3">
        <v>44792</v>
      </c>
      <c r="F50" t="str">
        <f t="shared" si="4"/>
        <v>33-я нед. 2022</v>
      </c>
      <c r="G50" t="str">
        <f t="shared" si="5"/>
        <v>авг 2022</v>
      </c>
      <c r="H50">
        <v>58</v>
      </c>
      <c r="I50">
        <f t="shared" si="6"/>
        <v>201</v>
      </c>
      <c r="J50">
        <f t="shared" si="7"/>
        <v>366</v>
      </c>
      <c r="K50" s="5">
        <f t="shared" si="8"/>
        <v>0.28855721393034828</v>
      </c>
      <c r="L50" s="5">
        <f t="shared" si="9"/>
        <v>0.15846994535519127</v>
      </c>
    </row>
    <row r="51" spans="1:12" x14ac:dyDescent="0.25">
      <c r="A51">
        <f t="shared" si="0"/>
        <v>33</v>
      </c>
      <c r="B51">
        <f t="shared" si="1"/>
        <v>8</v>
      </c>
      <c r="C51" t="str">
        <f t="shared" si="2"/>
        <v>авг</v>
      </c>
      <c r="D51">
        <f t="shared" si="3"/>
        <v>2022</v>
      </c>
      <c r="E51" s="3">
        <v>44793</v>
      </c>
      <c r="F51" t="str">
        <f t="shared" si="4"/>
        <v>33-я нед. 2022</v>
      </c>
      <c r="G51" t="str">
        <f t="shared" si="5"/>
        <v>авг 2022</v>
      </c>
      <c r="H51">
        <v>67</v>
      </c>
      <c r="I51">
        <f t="shared" si="6"/>
        <v>201</v>
      </c>
      <c r="J51">
        <f t="shared" si="7"/>
        <v>366</v>
      </c>
      <c r="K51" s="5">
        <f t="shared" si="8"/>
        <v>0.33333333333333331</v>
      </c>
      <c r="L51" s="5">
        <f t="shared" si="9"/>
        <v>0.1830601092896175</v>
      </c>
    </row>
    <row r="52" spans="1:12" x14ac:dyDescent="0.25">
      <c r="A52">
        <f t="shared" si="0"/>
        <v>33</v>
      </c>
      <c r="B52">
        <f t="shared" si="1"/>
        <v>8</v>
      </c>
      <c r="C52" t="str">
        <f t="shared" si="2"/>
        <v>авг</v>
      </c>
      <c r="D52">
        <f t="shared" si="3"/>
        <v>2022</v>
      </c>
      <c r="E52" s="3">
        <v>44794</v>
      </c>
      <c r="F52" t="str">
        <f t="shared" si="4"/>
        <v>33-я нед. 2022</v>
      </c>
      <c r="G52" t="str">
        <f t="shared" si="5"/>
        <v>авг 2022</v>
      </c>
      <c r="H52">
        <v>62</v>
      </c>
      <c r="I52">
        <f t="shared" si="6"/>
        <v>201</v>
      </c>
      <c r="J52">
        <f t="shared" si="7"/>
        <v>366</v>
      </c>
      <c r="K52" s="5">
        <f t="shared" si="8"/>
        <v>0.30845771144278605</v>
      </c>
      <c r="L52" s="5">
        <f t="shared" si="9"/>
        <v>0.16939890710382513</v>
      </c>
    </row>
    <row r="53" spans="1:12" x14ac:dyDescent="0.25">
      <c r="A53">
        <f t="shared" si="0"/>
        <v>34</v>
      </c>
      <c r="B53">
        <f t="shared" si="1"/>
        <v>8</v>
      </c>
      <c r="C53" t="str">
        <f t="shared" si="2"/>
        <v>авг</v>
      </c>
      <c r="D53">
        <f t="shared" si="3"/>
        <v>2022</v>
      </c>
      <c r="E53" s="3">
        <v>44795</v>
      </c>
      <c r="F53" t="str">
        <f t="shared" si="4"/>
        <v>34-я нед. 2022</v>
      </c>
      <c r="G53" t="str">
        <f t="shared" si="5"/>
        <v>авг 2022</v>
      </c>
      <c r="H53">
        <v>53</v>
      </c>
      <c r="I53">
        <f t="shared" si="6"/>
        <v>206</v>
      </c>
      <c r="J53">
        <f t="shared" si="7"/>
        <v>366</v>
      </c>
      <c r="K53" s="5">
        <f t="shared" si="8"/>
        <v>0.25728155339805825</v>
      </c>
      <c r="L53" s="5">
        <f t="shared" si="9"/>
        <v>0.1448087431693989</v>
      </c>
    </row>
    <row r="54" spans="1:12" x14ac:dyDescent="0.25">
      <c r="A54">
        <f t="shared" si="0"/>
        <v>34</v>
      </c>
      <c r="B54">
        <f t="shared" si="1"/>
        <v>8</v>
      </c>
      <c r="C54" t="str">
        <f t="shared" si="2"/>
        <v>авг</v>
      </c>
      <c r="D54">
        <f t="shared" si="3"/>
        <v>2022</v>
      </c>
      <c r="E54" s="3">
        <v>44796</v>
      </c>
      <c r="F54" t="str">
        <f t="shared" si="4"/>
        <v>34-я нед. 2022</v>
      </c>
      <c r="G54" t="str">
        <f t="shared" si="5"/>
        <v>авг 2022</v>
      </c>
      <c r="H54">
        <v>60</v>
      </c>
      <c r="I54">
        <f t="shared" si="6"/>
        <v>206</v>
      </c>
      <c r="J54">
        <f t="shared" si="7"/>
        <v>366</v>
      </c>
      <c r="K54" s="5">
        <f t="shared" si="8"/>
        <v>0.29126213592233008</v>
      </c>
      <c r="L54" s="5">
        <f t="shared" si="9"/>
        <v>0.16393442622950818</v>
      </c>
    </row>
    <row r="55" spans="1:12" x14ac:dyDescent="0.25">
      <c r="A55">
        <f t="shared" si="0"/>
        <v>34</v>
      </c>
      <c r="B55">
        <f t="shared" si="1"/>
        <v>8</v>
      </c>
      <c r="C55" t="str">
        <f t="shared" si="2"/>
        <v>авг</v>
      </c>
      <c r="D55">
        <f t="shared" si="3"/>
        <v>2022</v>
      </c>
      <c r="E55" s="3">
        <v>44797</v>
      </c>
      <c r="F55" t="str">
        <f t="shared" si="4"/>
        <v>34-я нед. 2022</v>
      </c>
      <c r="G55" t="str">
        <f t="shared" si="5"/>
        <v>авг 2022</v>
      </c>
      <c r="H55">
        <v>67</v>
      </c>
      <c r="I55">
        <f t="shared" si="6"/>
        <v>206</v>
      </c>
      <c r="J55">
        <f t="shared" si="7"/>
        <v>366</v>
      </c>
      <c r="K55" s="5">
        <f t="shared" si="8"/>
        <v>0.32524271844660196</v>
      </c>
      <c r="L55" s="5">
        <f t="shared" si="9"/>
        <v>0.1830601092896175</v>
      </c>
    </row>
    <row r="56" spans="1:12" x14ac:dyDescent="0.25">
      <c r="A56">
        <f t="shared" si="0"/>
        <v>34</v>
      </c>
      <c r="B56">
        <f t="shared" si="1"/>
        <v>8</v>
      </c>
      <c r="C56" t="str">
        <f t="shared" si="2"/>
        <v>авг</v>
      </c>
      <c r="D56">
        <f t="shared" si="3"/>
        <v>2022</v>
      </c>
      <c r="E56" s="3">
        <v>44798</v>
      </c>
      <c r="F56" t="str">
        <f t="shared" si="4"/>
        <v>34-я нед. 2022</v>
      </c>
      <c r="G56" t="str">
        <f t="shared" si="5"/>
        <v>авг 2022</v>
      </c>
      <c r="H56">
        <v>67</v>
      </c>
      <c r="I56">
        <f t="shared" si="6"/>
        <v>206</v>
      </c>
      <c r="J56">
        <f t="shared" si="7"/>
        <v>366</v>
      </c>
      <c r="K56" s="5">
        <f t="shared" si="8"/>
        <v>0.32524271844660196</v>
      </c>
      <c r="L56" s="5">
        <f t="shared" si="9"/>
        <v>0.1830601092896175</v>
      </c>
    </row>
    <row r="57" spans="1:12" x14ac:dyDescent="0.25">
      <c r="A57">
        <f t="shared" si="0"/>
        <v>34</v>
      </c>
      <c r="B57">
        <f t="shared" si="1"/>
        <v>8</v>
      </c>
      <c r="C57" t="str">
        <f t="shared" si="2"/>
        <v>авг</v>
      </c>
      <c r="D57">
        <f t="shared" si="3"/>
        <v>2022</v>
      </c>
      <c r="E57" s="3">
        <v>44799</v>
      </c>
      <c r="F57" t="str">
        <f t="shared" si="4"/>
        <v>34-я нед. 2022</v>
      </c>
      <c r="G57" t="str">
        <f t="shared" si="5"/>
        <v>авг 2022</v>
      </c>
      <c r="H57">
        <v>61</v>
      </c>
      <c r="I57">
        <f t="shared" si="6"/>
        <v>206</v>
      </c>
      <c r="J57">
        <f t="shared" si="7"/>
        <v>366</v>
      </c>
      <c r="K57" s="5">
        <f t="shared" si="8"/>
        <v>0.29611650485436891</v>
      </c>
      <c r="L57" s="5">
        <f t="shared" si="9"/>
        <v>0.16666666666666666</v>
      </c>
    </row>
    <row r="58" spans="1:12" x14ac:dyDescent="0.25">
      <c r="A58">
        <f t="shared" si="0"/>
        <v>34</v>
      </c>
      <c r="B58">
        <f t="shared" si="1"/>
        <v>8</v>
      </c>
      <c r="C58" t="str">
        <f t="shared" si="2"/>
        <v>авг</v>
      </c>
      <c r="D58">
        <f t="shared" si="3"/>
        <v>2022</v>
      </c>
      <c r="E58" s="3">
        <v>44800</v>
      </c>
      <c r="F58" t="str">
        <f t="shared" si="4"/>
        <v>34-я нед. 2022</v>
      </c>
      <c r="G58" t="str">
        <f t="shared" si="5"/>
        <v>авг 2022</v>
      </c>
      <c r="H58">
        <v>63</v>
      </c>
      <c r="I58">
        <f t="shared" si="6"/>
        <v>206</v>
      </c>
      <c r="J58">
        <f t="shared" si="7"/>
        <v>366</v>
      </c>
      <c r="K58" s="5">
        <f t="shared" si="8"/>
        <v>0.30582524271844658</v>
      </c>
      <c r="L58" s="5">
        <f t="shared" si="9"/>
        <v>0.1721311475409836</v>
      </c>
    </row>
    <row r="59" spans="1:12" x14ac:dyDescent="0.25">
      <c r="A59">
        <f t="shared" si="0"/>
        <v>34</v>
      </c>
      <c r="B59">
        <f t="shared" si="1"/>
        <v>8</v>
      </c>
      <c r="C59" t="str">
        <f t="shared" si="2"/>
        <v>авг</v>
      </c>
      <c r="D59">
        <f t="shared" si="3"/>
        <v>2022</v>
      </c>
      <c r="E59" s="3">
        <v>44801</v>
      </c>
      <c r="F59" t="str">
        <f t="shared" si="4"/>
        <v>34-я нед. 2022</v>
      </c>
      <c r="G59" t="str">
        <f t="shared" si="5"/>
        <v>авг 2022</v>
      </c>
      <c r="H59">
        <v>61</v>
      </c>
      <c r="I59">
        <f t="shared" si="6"/>
        <v>206</v>
      </c>
      <c r="J59">
        <f t="shared" si="7"/>
        <v>366</v>
      </c>
      <c r="K59" s="5">
        <f t="shared" si="8"/>
        <v>0.29611650485436891</v>
      </c>
      <c r="L59" s="5">
        <f t="shared" si="9"/>
        <v>0.16666666666666666</v>
      </c>
    </row>
    <row r="60" spans="1:12" x14ac:dyDescent="0.25">
      <c r="A60">
        <f t="shared" si="0"/>
        <v>35</v>
      </c>
      <c r="B60">
        <f t="shared" si="1"/>
        <v>8</v>
      </c>
      <c r="C60" t="str">
        <f t="shared" si="2"/>
        <v>авг</v>
      </c>
      <c r="D60">
        <f t="shared" si="3"/>
        <v>2022</v>
      </c>
      <c r="E60" s="3">
        <v>44802</v>
      </c>
      <c r="F60" t="str">
        <f t="shared" si="4"/>
        <v>35-я нед. 2022</v>
      </c>
      <c r="G60" t="str">
        <f t="shared" si="5"/>
        <v>авг 2022</v>
      </c>
      <c r="H60">
        <v>54</v>
      </c>
      <c r="I60">
        <f t="shared" si="6"/>
        <v>192</v>
      </c>
      <c r="J60">
        <f t="shared" si="7"/>
        <v>366</v>
      </c>
      <c r="K60" s="5">
        <f t="shared" si="8"/>
        <v>0.28125</v>
      </c>
      <c r="L60" s="5">
        <f t="shared" si="9"/>
        <v>0.14754098360655737</v>
      </c>
    </row>
    <row r="61" spans="1:12" x14ac:dyDescent="0.25">
      <c r="A61">
        <f t="shared" si="0"/>
        <v>35</v>
      </c>
      <c r="B61">
        <f t="shared" si="1"/>
        <v>8</v>
      </c>
      <c r="C61" t="str">
        <f t="shared" si="2"/>
        <v>авг</v>
      </c>
      <c r="D61">
        <f t="shared" si="3"/>
        <v>2022</v>
      </c>
      <c r="E61" s="3">
        <v>44803</v>
      </c>
      <c r="F61" t="str">
        <f t="shared" si="4"/>
        <v>35-я нед. 2022</v>
      </c>
      <c r="G61" t="str">
        <f t="shared" si="5"/>
        <v>авг 2022</v>
      </c>
      <c r="H61">
        <v>72</v>
      </c>
      <c r="I61">
        <f t="shared" si="6"/>
        <v>192</v>
      </c>
      <c r="J61">
        <f t="shared" si="7"/>
        <v>366</v>
      </c>
      <c r="K61" s="5">
        <f t="shared" si="8"/>
        <v>0.375</v>
      </c>
      <c r="L61" s="5">
        <f t="shared" si="9"/>
        <v>0.19672131147540983</v>
      </c>
    </row>
    <row r="62" spans="1:12" x14ac:dyDescent="0.25">
      <c r="A62">
        <f t="shared" si="0"/>
        <v>35</v>
      </c>
      <c r="B62">
        <f t="shared" si="1"/>
        <v>8</v>
      </c>
      <c r="C62" t="str">
        <f t="shared" si="2"/>
        <v>авг</v>
      </c>
      <c r="D62">
        <f t="shared" si="3"/>
        <v>2022</v>
      </c>
      <c r="E62" s="3">
        <v>44804</v>
      </c>
      <c r="F62" t="str">
        <f t="shared" si="4"/>
        <v>35-я нед. 2022</v>
      </c>
      <c r="G62" t="str">
        <f t="shared" si="5"/>
        <v>авг 2022</v>
      </c>
      <c r="H62">
        <v>54</v>
      </c>
      <c r="I62">
        <f t="shared" si="6"/>
        <v>192</v>
      </c>
      <c r="J62">
        <f t="shared" si="7"/>
        <v>366</v>
      </c>
      <c r="K62" s="5">
        <f t="shared" si="8"/>
        <v>0.28125</v>
      </c>
      <c r="L62" s="5">
        <f t="shared" si="9"/>
        <v>0.14754098360655737</v>
      </c>
    </row>
    <row r="63" spans="1:12" x14ac:dyDescent="0.25">
      <c r="A63">
        <f t="shared" si="0"/>
        <v>35</v>
      </c>
      <c r="B63">
        <f t="shared" si="1"/>
        <v>9</v>
      </c>
      <c r="C63" t="str">
        <f t="shared" si="2"/>
        <v>сен</v>
      </c>
      <c r="D63">
        <f t="shared" si="3"/>
        <v>2022</v>
      </c>
      <c r="E63" s="3">
        <v>44805</v>
      </c>
      <c r="F63" t="str">
        <f t="shared" si="4"/>
        <v>35-я нед. 2022</v>
      </c>
      <c r="G63" t="str">
        <f t="shared" si="5"/>
        <v>сен 2022</v>
      </c>
      <c r="H63">
        <v>66</v>
      </c>
      <c r="I63">
        <f t="shared" si="6"/>
        <v>192</v>
      </c>
      <c r="J63">
        <f t="shared" si="7"/>
        <v>378</v>
      </c>
      <c r="K63" s="5">
        <f t="shared" si="8"/>
        <v>0.34375</v>
      </c>
      <c r="L63" s="5">
        <f t="shared" si="9"/>
        <v>0.17460317460317459</v>
      </c>
    </row>
    <row r="64" spans="1:12" x14ac:dyDescent="0.25">
      <c r="A64">
        <f t="shared" si="0"/>
        <v>35</v>
      </c>
      <c r="B64">
        <f t="shared" si="1"/>
        <v>9</v>
      </c>
      <c r="C64" t="str">
        <f t="shared" si="2"/>
        <v>сен</v>
      </c>
      <c r="D64">
        <f t="shared" si="3"/>
        <v>2022</v>
      </c>
      <c r="E64" s="3">
        <v>44806</v>
      </c>
      <c r="F64" t="str">
        <f t="shared" si="4"/>
        <v>35-я нед. 2022</v>
      </c>
      <c r="G64" t="str">
        <f t="shared" si="5"/>
        <v>сен 2022</v>
      </c>
      <c r="H64">
        <v>61</v>
      </c>
      <c r="I64">
        <f t="shared" si="6"/>
        <v>192</v>
      </c>
      <c r="J64">
        <f t="shared" si="7"/>
        <v>378</v>
      </c>
      <c r="K64" s="5">
        <f t="shared" si="8"/>
        <v>0.31770833333333331</v>
      </c>
      <c r="L64" s="5">
        <f t="shared" si="9"/>
        <v>0.16137566137566137</v>
      </c>
    </row>
    <row r="65" spans="1:12" x14ac:dyDescent="0.25">
      <c r="A65">
        <f t="shared" si="0"/>
        <v>35</v>
      </c>
      <c r="B65">
        <f t="shared" si="1"/>
        <v>9</v>
      </c>
      <c r="C65" t="str">
        <f t="shared" si="2"/>
        <v>сен</v>
      </c>
      <c r="D65">
        <f t="shared" si="3"/>
        <v>2022</v>
      </c>
      <c r="E65" s="3">
        <v>44807</v>
      </c>
      <c r="F65" t="str">
        <f t="shared" si="4"/>
        <v>35-я нед. 2022</v>
      </c>
      <c r="G65" t="str">
        <f t="shared" si="5"/>
        <v>сен 2022</v>
      </c>
      <c r="H65">
        <v>58</v>
      </c>
      <c r="I65">
        <f t="shared" si="6"/>
        <v>192</v>
      </c>
      <c r="J65">
        <f t="shared" si="7"/>
        <v>378</v>
      </c>
      <c r="K65" s="5">
        <f t="shared" si="8"/>
        <v>0.30208333333333331</v>
      </c>
      <c r="L65" s="5">
        <f t="shared" si="9"/>
        <v>0.15343915343915343</v>
      </c>
    </row>
    <row r="66" spans="1:12" x14ac:dyDescent="0.25">
      <c r="A66">
        <f t="shared" ref="A66:A129" si="14">_xlfn.ISOWEEKNUM(E66)</f>
        <v>35</v>
      </c>
      <c r="B66">
        <f t="shared" ref="B66:B129" si="15">MONTH(E66)</f>
        <v>9</v>
      </c>
      <c r="C66" t="str">
        <f t="shared" ref="C66:C129" si="16">VLOOKUP(B66,AN:AO,2,0)</f>
        <v>сен</v>
      </c>
      <c r="D66">
        <f t="shared" ref="D66:D129" si="17">YEAR(E66)</f>
        <v>2022</v>
      </c>
      <c r="E66" s="3">
        <v>44808</v>
      </c>
      <c r="F66" t="str">
        <f t="shared" ref="F66:F129" si="18">VLOOKUP(A66,AA:AC,3,0)</f>
        <v>35-я нед. 2022</v>
      </c>
      <c r="G66" t="str">
        <f t="shared" ref="G66:G129" si="19">CONCATENATE(C66," ",D66)</f>
        <v>сен 2022</v>
      </c>
      <c r="H66">
        <v>64</v>
      </c>
      <c r="I66">
        <f t="shared" ref="I66:I129" si="20">VLOOKUP(A66,AA:AD,4,0)</f>
        <v>192</v>
      </c>
      <c r="J66">
        <f t="shared" ref="J66:J129" si="21">VLOOKUP(G66,AJ:AK,2,0)</f>
        <v>378</v>
      </c>
      <c r="K66" s="5">
        <f t="shared" si="8"/>
        <v>0.33333333333333331</v>
      </c>
      <c r="L66" s="5">
        <f t="shared" si="9"/>
        <v>0.1693121693121693</v>
      </c>
    </row>
    <row r="67" spans="1:12" x14ac:dyDescent="0.25">
      <c r="A67">
        <f t="shared" si="14"/>
        <v>36</v>
      </c>
      <c r="B67">
        <f t="shared" si="15"/>
        <v>9</v>
      </c>
      <c r="C67" t="str">
        <f t="shared" si="16"/>
        <v>сен</v>
      </c>
      <c r="D67">
        <f t="shared" si="17"/>
        <v>2022</v>
      </c>
      <c r="E67" s="3">
        <v>44809</v>
      </c>
      <c r="F67" t="str">
        <f t="shared" si="18"/>
        <v>36-я нед. 2022</v>
      </c>
      <c r="G67" t="str">
        <f t="shared" si="19"/>
        <v>сен 2022</v>
      </c>
      <c r="H67">
        <v>62</v>
      </c>
      <c r="I67">
        <f t="shared" si="20"/>
        <v>196</v>
      </c>
      <c r="J67">
        <f t="shared" si="21"/>
        <v>378</v>
      </c>
      <c r="K67" s="5">
        <f t="shared" ref="K67:K130" si="22">H67/I67</f>
        <v>0.31632653061224492</v>
      </c>
      <c r="L67" s="5">
        <f t="shared" ref="L67:L130" si="23">H67/J67</f>
        <v>0.16402116402116401</v>
      </c>
    </row>
    <row r="68" spans="1:12" x14ac:dyDescent="0.25">
      <c r="A68">
        <f t="shared" si="14"/>
        <v>36</v>
      </c>
      <c r="B68">
        <f t="shared" si="15"/>
        <v>9</v>
      </c>
      <c r="C68" t="str">
        <f t="shared" si="16"/>
        <v>сен</v>
      </c>
      <c r="D68">
        <f t="shared" si="17"/>
        <v>2022</v>
      </c>
      <c r="E68" s="3">
        <v>44810</v>
      </c>
      <c r="F68" t="str">
        <f t="shared" si="18"/>
        <v>36-я нед. 2022</v>
      </c>
      <c r="G68" t="str">
        <f t="shared" si="19"/>
        <v>сен 2022</v>
      </c>
      <c r="H68">
        <v>46</v>
      </c>
      <c r="I68">
        <f t="shared" si="20"/>
        <v>196</v>
      </c>
      <c r="J68">
        <f t="shared" si="21"/>
        <v>378</v>
      </c>
      <c r="K68" s="5">
        <f t="shared" si="22"/>
        <v>0.23469387755102042</v>
      </c>
      <c r="L68" s="5">
        <f t="shared" si="23"/>
        <v>0.12169312169312169</v>
      </c>
    </row>
    <row r="69" spans="1:12" x14ac:dyDescent="0.25">
      <c r="A69">
        <f t="shared" si="14"/>
        <v>36</v>
      </c>
      <c r="B69">
        <f t="shared" si="15"/>
        <v>9</v>
      </c>
      <c r="C69" t="str">
        <f t="shared" si="16"/>
        <v>сен</v>
      </c>
      <c r="D69">
        <f t="shared" si="17"/>
        <v>2022</v>
      </c>
      <c r="E69" s="3">
        <v>44811</v>
      </c>
      <c r="F69" t="str">
        <f t="shared" si="18"/>
        <v>36-я нед. 2022</v>
      </c>
      <c r="G69" t="str">
        <f t="shared" si="19"/>
        <v>сен 2022</v>
      </c>
      <c r="H69">
        <v>49</v>
      </c>
      <c r="I69">
        <f t="shared" si="20"/>
        <v>196</v>
      </c>
      <c r="J69">
        <f t="shared" si="21"/>
        <v>378</v>
      </c>
      <c r="K69" s="5">
        <f t="shared" si="22"/>
        <v>0.25</v>
      </c>
      <c r="L69" s="5">
        <f t="shared" si="23"/>
        <v>0.12962962962962962</v>
      </c>
    </row>
    <row r="70" spans="1:12" x14ac:dyDescent="0.25">
      <c r="A70">
        <f t="shared" si="14"/>
        <v>36</v>
      </c>
      <c r="B70">
        <f t="shared" si="15"/>
        <v>9</v>
      </c>
      <c r="C70" t="str">
        <f t="shared" si="16"/>
        <v>сен</v>
      </c>
      <c r="D70">
        <f t="shared" si="17"/>
        <v>2022</v>
      </c>
      <c r="E70" s="3">
        <v>44812</v>
      </c>
      <c r="F70" t="str">
        <f t="shared" si="18"/>
        <v>36-я нед. 2022</v>
      </c>
      <c r="G70" t="str">
        <f t="shared" si="19"/>
        <v>сен 2022</v>
      </c>
      <c r="H70">
        <v>59</v>
      </c>
      <c r="I70">
        <f t="shared" si="20"/>
        <v>196</v>
      </c>
      <c r="J70">
        <f t="shared" si="21"/>
        <v>378</v>
      </c>
      <c r="K70" s="5">
        <f t="shared" si="22"/>
        <v>0.30102040816326531</v>
      </c>
      <c r="L70" s="5">
        <f t="shared" si="23"/>
        <v>0.15608465608465608</v>
      </c>
    </row>
    <row r="71" spans="1:12" x14ac:dyDescent="0.25">
      <c r="A71">
        <f t="shared" si="14"/>
        <v>36</v>
      </c>
      <c r="B71">
        <f t="shared" si="15"/>
        <v>9</v>
      </c>
      <c r="C71" t="str">
        <f t="shared" si="16"/>
        <v>сен</v>
      </c>
      <c r="D71">
        <f t="shared" si="17"/>
        <v>2022</v>
      </c>
      <c r="E71" s="3">
        <v>44813</v>
      </c>
      <c r="F71" t="str">
        <f t="shared" si="18"/>
        <v>36-я нед. 2022</v>
      </c>
      <c r="G71" t="str">
        <f t="shared" si="19"/>
        <v>сен 2022</v>
      </c>
      <c r="H71">
        <v>60</v>
      </c>
      <c r="I71">
        <f t="shared" si="20"/>
        <v>196</v>
      </c>
      <c r="J71">
        <f t="shared" si="21"/>
        <v>378</v>
      </c>
      <c r="K71" s="5">
        <f t="shared" si="22"/>
        <v>0.30612244897959184</v>
      </c>
      <c r="L71" s="5">
        <f t="shared" si="23"/>
        <v>0.15873015873015872</v>
      </c>
    </row>
    <row r="72" spans="1:12" x14ac:dyDescent="0.25">
      <c r="A72">
        <f t="shared" si="14"/>
        <v>36</v>
      </c>
      <c r="B72">
        <f t="shared" si="15"/>
        <v>9</v>
      </c>
      <c r="C72" t="str">
        <f t="shared" si="16"/>
        <v>сен</v>
      </c>
      <c r="D72">
        <f t="shared" si="17"/>
        <v>2022</v>
      </c>
      <c r="E72" s="3">
        <v>44814</v>
      </c>
      <c r="F72" t="str">
        <f t="shared" si="18"/>
        <v>36-я нед. 2022</v>
      </c>
      <c r="G72" t="str">
        <f t="shared" si="19"/>
        <v>сен 2022</v>
      </c>
      <c r="H72">
        <v>53</v>
      </c>
      <c r="I72">
        <f t="shared" si="20"/>
        <v>196</v>
      </c>
      <c r="J72">
        <f t="shared" si="21"/>
        <v>378</v>
      </c>
      <c r="K72" s="5">
        <f t="shared" si="22"/>
        <v>0.27040816326530615</v>
      </c>
      <c r="L72" s="5">
        <f t="shared" si="23"/>
        <v>0.1402116402116402</v>
      </c>
    </row>
    <row r="73" spans="1:12" x14ac:dyDescent="0.25">
      <c r="A73">
        <f t="shared" si="14"/>
        <v>36</v>
      </c>
      <c r="B73">
        <f t="shared" si="15"/>
        <v>9</v>
      </c>
      <c r="C73" t="str">
        <f t="shared" si="16"/>
        <v>сен</v>
      </c>
      <c r="D73">
        <f t="shared" si="17"/>
        <v>2022</v>
      </c>
      <c r="E73" s="3">
        <v>44815</v>
      </c>
      <c r="F73" t="str">
        <f t="shared" si="18"/>
        <v>36-я нед. 2022</v>
      </c>
      <c r="G73" t="str">
        <f t="shared" si="19"/>
        <v>сен 2022</v>
      </c>
      <c r="H73">
        <v>61</v>
      </c>
      <c r="I73">
        <f t="shared" si="20"/>
        <v>196</v>
      </c>
      <c r="J73">
        <f t="shared" si="21"/>
        <v>378</v>
      </c>
      <c r="K73" s="5">
        <f t="shared" si="22"/>
        <v>0.31122448979591838</v>
      </c>
      <c r="L73" s="5">
        <f t="shared" si="23"/>
        <v>0.16137566137566137</v>
      </c>
    </row>
    <row r="74" spans="1:12" x14ac:dyDescent="0.25">
      <c r="A74">
        <f t="shared" si="14"/>
        <v>37</v>
      </c>
      <c r="B74">
        <f t="shared" si="15"/>
        <v>9</v>
      </c>
      <c r="C74" t="str">
        <f t="shared" si="16"/>
        <v>сен</v>
      </c>
      <c r="D74">
        <f t="shared" si="17"/>
        <v>2022</v>
      </c>
      <c r="E74" s="3">
        <v>44816</v>
      </c>
      <c r="F74" t="str">
        <f t="shared" si="18"/>
        <v>37-я нед. 2022</v>
      </c>
      <c r="G74" t="str">
        <f t="shared" si="19"/>
        <v>сен 2022</v>
      </c>
      <c r="H74">
        <v>58</v>
      </c>
      <c r="I74">
        <f t="shared" si="20"/>
        <v>205</v>
      </c>
      <c r="J74">
        <f t="shared" si="21"/>
        <v>378</v>
      </c>
      <c r="K74" s="5">
        <f t="shared" si="22"/>
        <v>0.28292682926829266</v>
      </c>
      <c r="L74" s="5">
        <f t="shared" si="23"/>
        <v>0.15343915343915343</v>
      </c>
    </row>
    <row r="75" spans="1:12" x14ac:dyDescent="0.25">
      <c r="A75">
        <f t="shared" si="14"/>
        <v>37</v>
      </c>
      <c r="B75">
        <f t="shared" si="15"/>
        <v>9</v>
      </c>
      <c r="C75" t="str">
        <f t="shared" si="16"/>
        <v>сен</v>
      </c>
      <c r="D75">
        <f t="shared" si="17"/>
        <v>2022</v>
      </c>
      <c r="E75" s="3">
        <v>44817</v>
      </c>
      <c r="F75" t="str">
        <f t="shared" si="18"/>
        <v>37-я нед. 2022</v>
      </c>
      <c r="G75" t="str">
        <f t="shared" si="19"/>
        <v>сен 2022</v>
      </c>
      <c r="H75">
        <v>64</v>
      </c>
      <c r="I75">
        <f t="shared" si="20"/>
        <v>205</v>
      </c>
      <c r="J75">
        <f t="shared" si="21"/>
        <v>378</v>
      </c>
      <c r="K75" s="5">
        <f t="shared" si="22"/>
        <v>0.31219512195121951</v>
      </c>
      <c r="L75" s="5">
        <f t="shared" si="23"/>
        <v>0.1693121693121693</v>
      </c>
    </row>
    <row r="76" spans="1:12" x14ac:dyDescent="0.25">
      <c r="A76">
        <f t="shared" si="14"/>
        <v>37</v>
      </c>
      <c r="B76">
        <f t="shared" si="15"/>
        <v>9</v>
      </c>
      <c r="C76" t="str">
        <f t="shared" si="16"/>
        <v>сен</v>
      </c>
      <c r="D76">
        <f t="shared" si="17"/>
        <v>2022</v>
      </c>
      <c r="E76" s="3">
        <v>44818</v>
      </c>
      <c r="F76" t="str">
        <f t="shared" si="18"/>
        <v>37-я нед. 2022</v>
      </c>
      <c r="G76" t="str">
        <f t="shared" si="19"/>
        <v>сен 2022</v>
      </c>
      <c r="H76">
        <v>65</v>
      </c>
      <c r="I76">
        <f t="shared" si="20"/>
        <v>205</v>
      </c>
      <c r="J76">
        <f t="shared" si="21"/>
        <v>378</v>
      </c>
      <c r="K76" s="5">
        <f t="shared" si="22"/>
        <v>0.31707317073170732</v>
      </c>
      <c r="L76" s="5">
        <f t="shared" si="23"/>
        <v>0.17195767195767195</v>
      </c>
    </row>
    <row r="77" spans="1:12" x14ac:dyDescent="0.25">
      <c r="A77">
        <f t="shared" si="14"/>
        <v>37</v>
      </c>
      <c r="B77">
        <f t="shared" si="15"/>
        <v>9</v>
      </c>
      <c r="C77" t="str">
        <f t="shared" si="16"/>
        <v>сен</v>
      </c>
      <c r="D77">
        <f t="shared" si="17"/>
        <v>2022</v>
      </c>
      <c r="E77" s="3">
        <v>44819</v>
      </c>
      <c r="F77" t="str">
        <f t="shared" si="18"/>
        <v>37-я нед. 2022</v>
      </c>
      <c r="G77" t="str">
        <f t="shared" si="19"/>
        <v>сен 2022</v>
      </c>
      <c r="H77">
        <v>74</v>
      </c>
      <c r="I77">
        <f t="shared" si="20"/>
        <v>205</v>
      </c>
      <c r="J77">
        <f t="shared" si="21"/>
        <v>378</v>
      </c>
      <c r="K77" s="5">
        <f t="shared" si="22"/>
        <v>0.36097560975609755</v>
      </c>
      <c r="L77" s="5">
        <f t="shared" si="23"/>
        <v>0.19576719576719576</v>
      </c>
    </row>
    <row r="78" spans="1:12" x14ac:dyDescent="0.25">
      <c r="A78">
        <f t="shared" si="14"/>
        <v>37</v>
      </c>
      <c r="B78">
        <f t="shared" si="15"/>
        <v>9</v>
      </c>
      <c r="C78" t="str">
        <f t="shared" si="16"/>
        <v>сен</v>
      </c>
      <c r="D78">
        <f t="shared" si="17"/>
        <v>2022</v>
      </c>
      <c r="E78" s="3">
        <v>44820</v>
      </c>
      <c r="F78" t="str">
        <f t="shared" si="18"/>
        <v>37-я нед. 2022</v>
      </c>
      <c r="G78" t="str">
        <f t="shared" si="19"/>
        <v>сен 2022</v>
      </c>
      <c r="H78">
        <v>58</v>
      </c>
      <c r="I78">
        <f t="shared" si="20"/>
        <v>205</v>
      </c>
      <c r="J78">
        <f t="shared" si="21"/>
        <v>378</v>
      </c>
      <c r="K78" s="5">
        <f t="shared" si="22"/>
        <v>0.28292682926829266</v>
      </c>
      <c r="L78" s="5">
        <f t="shared" si="23"/>
        <v>0.15343915343915343</v>
      </c>
    </row>
    <row r="79" spans="1:12" x14ac:dyDescent="0.25">
      <c r="A79">
        <f t="shared" si="14"/>
        <v>37</v>
      </c>
      <c r="B79">
        <f t="shared" si="15"/>
        <v>9</v>
      </c>
      <c r="C79" t="str">
        <f t="shared" si="16"/>
        <v>сен</v>
      </c>
      <c r="D79">
        <f t="shared" si="17"/>
        <v>2022</v>
      </c>
      <c r="E79" s="3">
        <v>44821</v>
      </c>
      <c r="F79" t="str">
        <f t="shared" si="18"/>
        <v>37-я нед. 2022</v>
      </c>
      <c r="G79" t="str">
        <f t="shared" si="19"/>
        <v>сен 2022</v>
      </c>
      <c r="H79">
        <v>62</v>
      </c>
      <c r="I79">
        <f t="shared" si="20"/>
        <v>205</v>
      </c>
      <c r="J79">
        <f t="shared" si="21"/>
        <v>378</v>
      </c>
      <c r="K79" s="5">
        <f t="shared" si="22"/>
        <v>0.30243902439024389</v>
      </c>
      <c r="L79" s="5">
        <f t="shared" si="23"/>
        <v>0.16402116402116401</v>
      </c>
    </row>
    <row r="80" spans="1:12" x14ac:dyDescent="0.25">
      <c r="A80">
        <f t="shared" si="14"/>
        <v>37</v>
      </c>
      <c r="B80">
        <f t="shared" si="15"/>
        <v>9</v>
      </c>
      <c r="C80" t="str">
        <f t="shared" si="16"/>
        <v>сен</v>
      </c>
      <c r="D80">
        <f t="shared" si="17"/>
        <v>2022</v>
      </c>
      <c r="E80" s="3">
        <v>44822</v>
      </c>
      <c r="F80" t="str">
        <f t="shared" si="18"/>
        <v>37-я нед. 2022</v>
      </c>
      <c r="G80" t="str">
        <f t="shared" si="19"/>
        <v>сен 2022</v>
      </c>
      <c r="H80">
        <v>69</v>
      </c>
      <c r="I80">
        <f t="shared" si="20"/>
        <v>205</v>
      </c>
      <c r="J80">
        <f t="shared" si="21"/>
        <v>378</v>
      </c>
      <c r="K80" s="5">
        <f t="shared" si="22"/>
        <v>0.33658536585365856</v>
      </c>
      <c r="L80" s="5">
        <f t="shared" si="23"/>
        <v>0.18253968253968253</v>
      </c>
    </row>
    <row r="81" spans="1:12" x14ac:dyDescent="0.25">
      <c r="A81">
        <f t="shared" si="14"/>
        <v>38</v>
      </c>
      <c r="B81">
        <f t="shared" si="15"/>
        <v>9</v>
      </c>
      <c r="C81" t="str">
        <f t="shared" si="16"/>
        <v>сен</v>
      </c>
      <c r="D81">
        <f t="shared" si="17"/>
        <v>2022</v>
      </c>
      <c r="E81" s="3">
        <v>44823</v>
      </c>
      <c r="F81" t="str">
        <f t="shared" si="18"/>
        <v>38-я нед. 2022</v>
      </c>
      <c r="G81" t="str">
        <f t="shared" si="19"/>
        <v>сен 2022</v>
      </c>
      <c r="H81">
        <v>66</v>
      </c>
      <c r="I81">
        <f t="shared" si="20"/>
        <v>213</v>
      </c>
      <c r="J81">
        <f t="shared" si="21"/>
        <v>378</v>
      </c>
      <c r="K81" s="5">
        <f t="shared" si="22"/>
        <v>0.30985915492957744</v>
      </c>
      <c r="L81" s="5">
        <f t="shared" si="23"/>
        <v>0.17460317460317459</v>
      </c>
    </row>
    <row r="82" spans="1:12" x14ac:dyDescent="0.25">
      <c r="A82">
        <f t="shared" si="14"/>
        <v>38</v>
      </c>
      <c r="B82">
        <f t="shared" si="15"/>
        <v>9</v>
      </c>
      <c r="C82" t="str">
        <f t="shared" si="16"/>
        <v>сен</v>
      </c>
      <c r="D82">
        <f t="shared" si="17"/>
        <v>2022</v>
      </c>
      <c r="E82" s="3">
        <v>44824</v>
      </c>
      <c r="F82" t="str">
        <f t="shared" si="18"/>
        <v>38-я нед. 2022</v>
      </c>
      <c r="G82" t="str">
        <f t="shared" si="19"/>
        <v>сен 2022</v>
      </c>
      <c r="H82">
        <v>67</v>
      </c>
      <c r="I82">
        <f t="shared" si="20"/>
        <v>213</v>
      </c>
      <c r="J82">
        <f t="shared" si="21"/>
        <v>378</v>
      </c>
      <c r="K82" s="5">
        <f t="shared" si="22"/>
        <v>0.31455399061032863</v>
      </c>
      <c r="L82" s="5">
        <f t="shared" si="23"/>
        <v>0.17724867724867724</v>
      </c>
    </row>
    <row r="83" spans="1:12" x14ac:dyDescent="0.25">
      <c r="A83">
        <f t="shared" si="14"/>
        <v>38</v>
      </c>
      <c r="B83">
        <f t="shared" si="15"/>
        <v>9</v>
      </c>
      <c r="C83" t="str">
        <f t="shared" si="16"/>
        <v>сен</v>
      </c>
      <c r="D83">
        <f t="shared" si="17"/>
        <v>2022</v>
      </c>
      <c r="E83" s="3">
        <v>44825</v>
      </c>
      <c r="F83" t="str">
        <f t="shared" si="18"/>
        <v>38-я нед. 2022</v>
      </c>
      <c r="G83" t="str">
        <f t="shared" si="19"/>
        <v>сен 2022</v>
      </c>
      <c r="H83">
        <v>71</v>
      </c>
      <c r="I83">
        <f t="shared" si="20"/>
        <v>213</v>
      </c>
      <c r="J83">
        <f t="shared" si="21"/>
        <v>378</v>
      </c>
      <c r="K83" s="5">
        <f t="shared" si="22"/>
        <v>0.33333333333333331</v>
      </c>
      <c r="L83" s="5">
        <f t="shared" si="23"/>
        <v>0.18783068783068782</v>
      </c>
    </row>
    <row r="84" spans="1:12" x14ac:dyDescent="0.25">
      <c r="A84">
        <f t="shared" si="14"/>
        <v>38</v>
      </c>
      <c r="B84">
        <f t="shared" si="15"/>
        <v>9</v>
      </c>
      <c r="C84" t="str">
        <f t="shared" si="16"/>
        <v>сен</v>
      </c>
      <c r="D84">
        <f t="shared" si="17"/>
        <v>2022</v>
      </c>
      <c r="E84" s="3">
        <v>44826</v>
      </c>
      <c r="F84" t="str">
        <f t="shared" si="18"/>
        <v>38-я нед. 2022</v>
      </c>
      <c r="G84" t="str">
        <f t="shared" si="19"/>
        <v>сен 2022</v>
      </c>
      <c r="H84">
        <v>67</v>
      </c>
      <c r="I84">
        <f t="shared" si="20"/>
        <v>213</v>
      </c>
      <c r="J84">
        <f t="shared" si="21"/>
        <v>378</v>
      </c>
      <c r="K84" s="5">
        <f t="shared" si="22"/>
        <v>0.31455399061032863</v>
      </c>
      <c r="L84" s="5">
        <f t="shared" si="23"/>
        <v>0.17724867724867724</v>
      </c>
    </row>
    <row r="85" spans="1:12" x14ac:dyDescent="0.25">
      <c r="A85">
        <f t="shared" si="14"/>
        <v>38</v>
      </c>
      <c r="B85">
        <f t="shared" si="15"/>
        <v>9</v>
      </c>
      <c r="C85" t="str">
        <f t="shared" si="16"/>
        <v>сен</v>
      </c>
      <c r="D85">
        <f t="shared" si="17"/>
        <v>2022</v>
      </c>
      <c r="E85" s="3">
        <v>44827</v>
      </c>
      <c r="F85" t="str">
        <f t="shared" si="18"/>
        <v>38-я нед. 2022</v>
      </c>
      <c r="G85" t="str">
        <f t="shared" si="19"/>
        <v>сен 2022</v>
      </c>
      <c r="H85">
        <v>55</v>
      </c>
      <c r="I85">
        <f t="shared" si="20"/>
        <v>213</v>
      </c>
      <c r="J85">
        <f t="shared" si="21"/>
        <v>378</v>
      </c>
      <c r="K85" s="5">
        <f t="shared" si="22"/>
        <v>0.25821596244131456</v>
      </c>
      <c r="L85" s="5">
        <f t="shared" si="23"/>
        <v>0.14550264550264549</v>
      </c>
    </row>
    <row r="86" spans="1:12" x14ac:dyDescent="0.25">
      <c r="A86">
        <f t="shared" si="14"/>
        <v>38</v>
      </c>
      <c r="B86">
        <f t="shared" si="15"/>
        <v>9</v>
      </c>
      <c r="C86" t="str">
        <f t="shared" si="16"/>
        <v>сен</v>
      </c>
      <c r="D86">
        <f t="shared" si="17"/>
        <v>2022</v>
      </c>
      <c r="E86" s="3">
        <v>44828</v>
      </c>
      <c r="F86" t="str">
        <f t="shared" si="18"/>
        <v>38-я нед. 2022</v>
      </c>
      <c r="G86" t="str">
        <f t="shared" si="19"/>
        <v>сен 2022</v>
      </c>
      <c r="H86">
        <v>58</v>
      </c>
      <c r="I86">
        <f t="shared" si="20"/>
        <v>213</v>
      </c>
      <c r="J86">
        <f t="shared" si="21"/>
        <v>378</v>
      </c>
      <c r="K86" s="5">
        <f t="shared" si="22"/>
        <v>0.27230046948356806</v>
      </c>
      <c r="L86" s="5">
        <f t="shared" si="23"/>
        <v>0.15343915343915343</v>
      </c>
    </row>
    <row r="87" spans="1:12" x14ac:dyDescent="0.25">
      <c r="A87">
        <f t="shared" si="14"/>
        <v>38</v>
      </c>
      <c r="B87">
        <f t="shared" si="15"/>
        <v>9</v>
      </c>
      <c r="C87" t="str">
        <f t="shared" si="16"/>
        <v>сен</v>
      </c>
      <c r="D87">
        <f t="shared" si="17"/>
        <v>2022</v>
      </c>
      <c r="E87" s="3">
        <v>44829</v>
      </c>
      <c r="F87" t="str">
        <f t="shared" si="18"/>
        <v>38-я нед. 2022</v>
      </c>
      <c r="G87" t="str">
        <f t="shared" si="19"/>
        <v>сен 2022</v>
      </c>
      <c r="H87">
        <v>73</v>
      </c>
      <c r="I87">
        <f t="shared" si="20"/>
        <v>213</v>
      </c>
      <c r="J87">
        <f t="shared" si="21"/>
        <v>378</v>
      </c>
      <c r="K87" s="5">
        <f t="shared" si="22"/>
        <v>0.34272300469483569</v>
      </c>
      <c r="L87" s="5">
        <f t="shared" si="23"/>
        <v>0.19312169312169311</v>
      </c>
    </row>
    <row r="88" spans="1:12" x14ac:dyDescent="0.25">
      <c r="A88">
        <f t="shared" si="14"/>
        <v>39</v>
      </c>
      <c r="B88">
        <f t="shared" si="15"/>
        <v>9</v>
      </c>
      <c r="C88" t="str">
        <f t="shared" si="16"/>
        <v>сен</v>
      </c>
      <c r="D88">
        <f t="shared" si="17"/>
        <v>2022</v>
      </c>
      <c r="E88" s="3">
        <v>44830</v>
      </c>
      <c r="F88" t="str">
        <f t="shared" si="18"/>
        <v>39-я нед. 2022</v>
      </c>
      <c r="G88" t="str">
        <f t="shared" si="19"/>
        <v>сен 2022</v>
      </c>
      <c r="H88">
        <v>58</v>
      </c>
      <c r="I88">
        <f t="shared" si="20"/>
        <v>208</v>
      </c>
      <c r="J88">
        <f t="shared" si="21"/>
        <v>378</v>
      </c>
      <c r="K88" s="5">
        <f t="shared" si="22"/>
        <v>0.27884615384615385</v>
      </c>
      <c r="L88" s="5">
        <f t="shared" si="23"/>
        <v>0.15343915343915343</v>
      </c>
    </row>
    <row r="89" spans="1:12" x14ac:dyDescent="0.25">
      <c r="A89">
        <f t="shared" si="14"/>
        <v>39</v>
      </c>
      <c r="B89">
        <f t="shared" si="15"/>
        <v>9</v>
      </c>
      <c r="C89" t="str">
        <f t="shared" si="16"/>
        <v>сен</v>
      </c>
      <c r="D89">
        <f t="shared" si="17"/>
        <v>2022</v>
      </c>
      <c r="E89" s="3">
        <v>44831</v>
      </c>
      <c r="F89" t="str">
        <f t="shared" si="18"/>
        <v>39-я нед. 2022</v>
      </c>
      <c r="G89" t="str">
        <f t="shared" si="19"/>
        <v>сен 2022</v>
      </c>
      <c r="H89">
        <v>76</v>
      </c>
      <c r="I89">
        <f t="shared" si="20"/>
        <v>208</v>
      </c>
      <c r="J89">
        <f t="shared" si="21"/>
        <v>378</v>
      </c>
      <c r="K89" s="5">
        <f t="shared" si="22"/>
        <v>0.36538461538461536</v>
      </c>
      <c r="L89" s="5">
        <f t="shared" si="23"/>
        <v>0.20105820105820105</v>
      </c>
    </row>
    <row r="90" spans="1:12" x14ac:dyDescent="0.25">
      <c r="A90">
        <f t="shared" si="14"/>
        <v>39</v>
      </c>
      <c r="B90">
        <f t="shared" si="15"/>
        <v>9</v>
      </c>
      <c r="C90" t="str">
        <f t="shared" si="16"/>
        <v>сен</v>
      </c>
      <c r="D90">
        <f t="shared" si="17"/>
        <v>2022</v>
      </c>
      <c r="E90" s="3">
        <v>44832</v>
      </c>
      <c r="F90" t="str">
        <f t="shared" si="18"/>
        <v>39-я нед. 2022</v>
      </c>
      <c r="G90" t="str">
        <f t="shared" si="19"/>
        <v>сен 2022</v>
      </c>
      <c r="H90">
        <v>62</v>
      </c>
      <c r="I90">
        <f t="shared" si="20"/>
        <v>208</v>
      </c>
      <c r="J90">
        <f t="shared" si="21"/>
        <v>378</v>
      </c>
      <c r="K90" s="5">
        <f t="shared" si="22"/>
        <v>0.29807692307692307</v>
      </c>
      <c r="L90" s="5">
        <f t="shared" si="23"/>
        <v>0.16402116402116401</v>
      </c>
    </row>
    <row r="91" spans="1:12" x14ac:dyDescent="0.25">
      <c r="A91">
        <f t="shared" si="14"/>
        <v>39</v>
      </c>
      <c r="B91">
        <f t="shared" si="15"/>
        <v>9</v>
      </c>
      <c r="C91" t="str">
        <f t="shared" si="16"/>
        <v>сен</v>
      </c>
      <c r="D91">
        <f t="shared" si="17"/>
        <v>2022</v>
      </c>
      <c r="E91" s="3">
        <v>44833</v>
      </c>
      <c r="F91" t="str">
        <f t="shared" si="18"/>
        <v>39-я нед. 2022</v>
      </c>
      <c r="G91" t="str">
        <f t="shared" si="19"/>
        <v>сен 2022</v>
      </c>
      <c r="H91">
        <v>66</v>
      </c>
      <c r="I91">
        <f t="shared" si="20"/>
        <v>208</v>
      </c>
      <c r="J91">
        <f t="shared" si="21"/>
        <v>378</v>
      </c>
      <c r="K91" s="5">
        <f t="shared" si="22"/>
        <v>0.31730769230769229</v>
      </c>
      <c r="L91" s="5">
        <f t="shared" si="23"/>
        <v>0.17460317460317459</v>
      </c>
    </row>
    <row r="92" spans="1:12" x14ac:dyDescent="0.25">
      <c r="A92">
        <f t="shared" si="14"/>
        <v>39</v>
      </c>
      <c r="B92">
        <f t="shared" si="15"/>
        <v>9</v>
      </c>
      <c r="C92" t="str">
        <f t="shared" si="16"/>
        <v>сен</v>
      </c>
      <c r="D92">
        <f t="shared" si="17"/>
        <v>2022</v>
      </c>
      <c r="E92" s="3">
        <v>44834</v>
      </c>
      <c r="F92" t="str">
        <f t="shared" si="18"/>
        <v>39-я нед. 2022</v>
      </c>
      <c r="G92" t="str">
        <f t="shared" si="19"/>
        <v>сен 2022</v>
      </c>
      <c r="H92">
        <v>59</v>
      </c>
      <c r="I92">
        <f t="shared" si="20"/>
        <v>208</v>
      </c>
      <c r="J92">
        <f t="shared" si="21"/>
        <v>378</v>
      </c>
      <c r="K92" s="5">
        <f t="shared" si="22"/>
        <v>0.28365384615384615</v>
      </c>
      <c r="L92" s="5">
        <f t="shared" si="23"/>
        <v>0.15608465608465608</v>
      </c>
    </row>
    <row r="93" spans="1:12" x14ac:dyDescent="0.25">
      <c r="A93">
        <f t="shared" si="14"/>
        <v>39</v>
      </c>
      <c r="B93">
        <f t="shared" si="15"/>
        <v>10</v>
      </c>
      <c r="C93" t="str">
        <f t="shared" si="16"/>
        <v>окт</v>
      </c>
      <c r="D93">
        <f t="shared" si="17"/>
        <v>2022</v>
      </c>
      <c r="E93" s="3">
        <v>44835</v>
      </c>
      <c r="F93" t="str">
        <f t="shared" si="18"/>
        <v>39-я нед. 2022</v>
      </c>
      <c r="G93" t="str">
        <f t="shared" si="19"/>
        <v>окт 2022</v>
      </c>
      <c r="H93">
        <v>61</v>
      </c>
      <c r="I93">
        <f t="shared" si="20"/>
        <v>208</v>
      </c>
      <c r="J93">
        <f t="shared" si="21"/>
        <v>393</v>
      </c>
      <c r="K93" s="5">
        <f t="shared" si="22"/>
        <v>0.29326923076923078</v>
      </c>
      <c r="L93" s="5">
        <f t="shared" si="23"/>
        <v>0.15521628498727735</v>
      </c>
    </row>
    <row r="94" spans="1:12" x14ac:dyDescent="0.25">
      <c r="A94">
        <f t="shared" si="14"/>
        <v>39</v>
      </c>
      <c r="B94">
        <f t="shared" si="15"/>
        <v>10</v>
      </c>
      <c r="C94" t="str">
        <f t="shared" si="16"/>
        <v>окт</v>
      </c>
      <c r="D94">
        <f t="shared" si="17"/>
        <v>2022</v>
      </c>
      <c r="E94" s="3">
        <v>44836</v>
      </c>
      <c r="F94" t="str">
        <f t="shared" si="18"/>
        <v>39-я нед. 2022</v>
      </c>
      <c r="G94" t="str">
        <f t="shared" si="19"/>
        <v>окт 2022</v>
      </c>
      <c r="H94">
        <v>52</v>
      </c>
      <c r="I94">
        <f t="shared" si="20"/>
        <v>208</v>
      </c>
      <c r="J94">
        <f t="shared" si="21"/>
        <v>393</v>
      </c>
      <c r="K94" s="5">
        <f t="shared" si="22"/>
        <v>0.25</v>
      </c>
      <c r="L94" s="5">
        <f t="shared" si="23"/>
        <v>0.13231552162849872</v>
      </c>
    </row>
    <row r="95" spans="1:12" x14ac:dyDescent="0.25">
      <c r="A95">
        <f t="shared" si="14"/>
        <v>40</v>
      </c>
      <c r="B95">
        <f t="shared" si="15"/>
        <v>10</v>
      </c>
      <c r="C95" t="str">
        <f t="shared" si="16"/>
        <v>окт</v>
      </c>
      <c r="D95">
        <f t="shared" si="17"/>
        <v>2022</v>
      </c>
      <c r="E95" s="3">
        <v>44837</v>
      </c>
      <c r="F95" t="str">
        <f t="shared" si="18"/>
        <v>40-я нед. 2022</v>
      </c>
      <c r="G95" t="str">
        <f t="shared" si="19"/>
        <v>окт 2022</v>
      </c>
      <c r="H95">
        <v>69</v>
      </c>
      <c r="I95">
        <f t="shared" si="20"/>
        <v>207</v>
      </c>
      <c r="J95">
        <f t="shared" si="21"/>
        <v>393</v>
      </c>
      <c r="K95" s="5">
        <f t="shared" si="22"/>
        <v>0.33333333333333331</v>
      </c>
      <c r="L95" s="5">
        <f t="shared" si="23"/>
        <v>0.17557251908396945</v>
      </c>
    </row>
    <row r="96" spans="1:12" x14ac:dyDescent="0.25">
      <c r="A96">
        <f t="shared" si="14"/>
        <v>40</v>
      </c>
      <c r="B96">
        <f t="shared" si="15"/>
        <v>10</v>
      </c>
      <c r="C96" t="str">
        <f t="shared" si="16"/>
        <v>окт</v>
      </c>
      <c r="D96">
        <f t="shared" si="17"/>
        <v>2022</v>
      </c>
      <c r="E96" s="3">
        <v>44838</v>
      </c>
      <c r="F96" t="str">
        <f t="shared" si="18"/>
        <v>40-я нед. 2022</v>
      </c>
      <c r="G96" t="str">
        <f t="shared" si="19"/>
        <v>окт 2022</v>
      </c>
      <c r="H96">
        <v>70</v>
      </c>
      <c r="I96">
        <f t="shared" si="20"/>
        <v>207</v>
      </c>
      <c r="J96">
        <f t="shared" si="21"/>
        <v>393</v>
      </c>
      <c r="K96" s="5">
        <f t="shared" si="22"/>
        <v>0.33816425120772947</v>
      </c>
      <c r="L96" s="5">
        <f t="shared" si="23"/>
        <v>0.17811704834605599</v>
      </c>
    </row>
    <row r="97" spans="1:12" x14ac:dyDescent="0.25">
      <c r="A97">
        <f t="shared" si="14"/>
        <v>40</v>
      </c>
      <c r="B97">
        <f t="shared" si="15"/>
        <v>10</v>
      </c>
      <c r="C97" t="str">
        <f t="shared" si="16"/>
        <v>окт</v>
      </c>
      <c r="D97">
        <f t="shared" si="17"/>
        <v>2022</v>
      </c>
      <c r="E97" s="3">
        <v>44839</v>
      </c>
      <c r="F97" t="str">
        <f t="shared" si="18"/>
        <v>40-я нед. 2022</v>
      </c>
      <c r="G97" t="str">
        <f t="shared" si="19"/>
        <v>окт 2022</v>
      </c>
      <c r="H97">
        <v>45</v>
      </c>
      <c r="I97">
        <f t="shared" si="20"/>
        <v>207</v>
      </c>
      <c r="J97">
        <f t="shared" si="21"/>
        <v>393</v>
      </c>
      <c r="K97" s="5">
        <f t="shared" si="22"/>
        <v>0.21739130434782608</v>
      </c>
      <c r="L97" s="5">
        <f t="shared" si="23"/>
        <v>0.11450381679389313</v>
      </c>
    </row>
    <row r="98" spans="1:12" x14ac:dyDescent="0.25">
      <c r="A98">
        <f t="shared" si="14"/>
        <v>40</v>
      </c>
      <c r="B98">
        <f t="shared" si="15"/>
        <v>10</v>
      </c>
      <c r="C98" t="str">
        <f t="shared" si="16"/>
        <v>окт</v>
      </c>
      <c r="D98">
        <f t="shared" si="17"/>
        <v>2022</v>
      </c>
      <c r="E98" s="3">
        <v>44840</v>
      </c>
      <c r="F98" t="str">
        <f t="shared" si="18"/>
        <v>40-я нед. 2022</v>
      </c>
      <c r="G98" t="str">
        <f t="shared" si="19"/>
        <v>окт 2022</v>
      </c>
      <c r="H98">
        <v>77</v>
      </c>
      <c r="I98">
        <f t="shared" si="20"/>
        <v>207</v>
      </c>
      <c r="J98">
        <f t="shared" si="21"/>
        <v>393</v>
      </c>
      <c r="K98" s="5">
        <f t="shared" si="22"/>
        <v>0.3719806763285024</v>
      </c>
      <c r="L98" s="5">
        <f t="shared" si="23"/>
        <v>0.19592875318066158</v>
      </c>
    </row>
    <row r="99" spans="1:12" x14ac:dyDescent="0.25">
      <c r="A99">
        <f t="shared" si="14"/>
        <v>40</v>
      </c>
      <c r="B99">
        <f t="shared" si="15"/>
        <v>10</v>
      </c>
      <c r="C99" t="str">
        <f t="shared" si="16"/>
        <v>окт</v>
      </c>
      <c r="D99">
        <f t="shared" si="17"/>
        <v>2022</v>
      </c>
      <c r="E99" s="3">
        <v>44841</v>
      </c>
      <c r="F99" t="str">
        <f t="shared" si="18"/>
        <v>40-я нед. 2022</v>
      </c>
      <c r="G99" t="str">
        <f t="shared" si="19"/>
        <v>окт 2022</v>
      </c>
      <c r="H99">
        <v>61</v>
      </c>
      <c r="I99">
        <f t="shared" si="20"/>
        <v>207</v>
      </c>
      <c r="J99">
        <f t="shared" si="21"/>
        <v>393</v>
      </c>
      <c r="K99" s="5">
        <f t="shared" si="22"/>
        <v>0.29468599033816423</v>
      </c>
      <c r="L99" s="5">
        <f t="shared" si="23"/>
        <v>0.15521628498727735</v>
      </c>
    </row>
    <row r="100" spans="1:12" x14ac:dyDescent="0.25">
      <c r="A100">
        <f t="shared" si="14"/>
        <v>40</v>
      </c>
      <c r="B100">
        <f t="shared" si="15"/>
        <v>10</v>
      </c>
      <c r="C100" t="str">
        <f t="shared" si="16"/>
        <v>окт</v>
      </c>
      <c r="D100">
        <f t="shared" si="17"/>
        <v>2022</v>
      </c>
      <c r="E100" s="3">
        <v>44842</v>
      </c>
      <c r="F100" t="str">
        <f t="shared" si="18"/>
        <v>40-я нед. 2022</v>
      </c>
      <c r="G100" t="str">
        <f t="shared" si="19"/>
        <v>окт 2022</v>
      </c>
      <c r="H100">
        <v>56</v>
      </c>
      <c r="I100">
        <f t="shared" si="20"/>
        <v>207</v>
      </c>
      <c r="J100">
        <f t="shared" si="21"/>
        <v>393</v>
      </c>
      <c r="K100" s="5">
        <f t="shared" si="22"/>
        <v>0.27053140096618356</v>
      </c>
      <c r="L100" s="5">
        <f t="shared" si="23"/>
        <v>0.14249363867684478</v>
      </c>
    </row>
    <row r="101" spans="1:12" x14ac:dyDescent="0.25">
      <c r="A101">
        <f t="shared" si="14"/>
        <v>40</v>
      </c>
      <c r="B101">
        <f t="shared" si="15"/>
        <v>10</v>
      </c>
      <c r="C101" t="str">
        <f t="shared" si="16"/>
        <v>окт</v>
      </c>
      <c r="D101">
        <f t="shared" si="17"/>
        <v>2022</v>
      </c>
      <c r="E101" s="3">
        <v>44843</v>
      </c>
      <c r="F101" t="str">
        <f t="shared" si="18"/>
        <v>40-я нед. 2022</v>
      </c>
      <c r="G101" t="str">
        <f t="shared" si="19"/>
        <v>окт 2022</v>
      </c>
      <c r="H101">
        <v>66</v>
      </c>
      <c r="I101">
        <f t="shared" si="20"/>
        <v>207</v>
      </c>
      <c r="J101">
        <f t="shared" si="21"/>
        <v>393</v>
      </c>
      <c r="K101" s="5">
        <f t="shared" si="22"/>
        <v>0.3188405797101449</v>
      </c>
      <c r="L101" s="5">
        <f t="shared" si="23"/>
        <v>0.16793893129770993</v>
      </c>
    </row>
    <row r="102" spans="1:12" x14ac:dyDescent="0.25">
      <c r="A102">
        <f t="shared" si="14"/>
        <v>41</v>
      </c>
      <c r="B102">
        <f t="shared" si="15"/>
        <v>10</v>
      </c>
      <c r="C102" t="str">
        <f t="shared" si="16"/>
        <v>окт</v>
      </c>
      <c r="D102">
        <f t="shared" si="17"/>
        <v>2022</v>
      </c>
      <c r="E102" s="3">
        <v>44844</v>
      </c>
      <c r="F102" t="str">
        <f t="shared" si="18"/>
        <v>41-я нед. 2022</v>
      </c>
      <c r="G102" t="str">
        <f t="shared" si="19"/>
        <v>окт 2022</v>
      </c>
      <c r="H102">
        <v>51</v>
      </c>
      <c r="I102">
        <f t="shared" si="20"/>
        <v>204</v>
      </c>
      <c r="J102">
        <f t="shared" si="21"/>
        <v>393</v>
      </c>
      <c r="K102" s="5">
        <f t="shared" si="22"/>
        <v>0.25</v>
      </c>
      <c r="L102" s="5">
        <f t="shared" si="23"/>
        <v>0.12977099236641221</v>
      </c>
    </row>
    <row r="103" spans="1:12" x14ac:dyDescent="0.25">
      <c r="A103">
        <f t="shared" si="14"/>
        <v>41</v>
      </c>
      <c r="B103">
        <f t="shared" si="15"/>
        <v>10</v>
      </c>
      <c r="C103" t="str">
        <f t="shared" si="16"/>
        <v>окт</v>
      </c>
      <c r="D103">
        <f t="shared" si="17"/>
        <v>2022</v>
      </c>
      <c r="E103" s="3">
        <v>44845</v>
      </c>
      <c r="F103" t="str">
        <f t="shared" si="18"/>
        <v>41-я нед. 2022</v>
      </c>
      <c r="G103" t="str">
        <f t="shared" si="19"/>
        <v>окт 2022</v>
      </c>
      <c r="H103">
        <v>59</v>
      </c>
      <c r="I103">
        <f t="shared" si="20"/>
        <v>204</v>
      </c>
      <c r="J103">
        <f t="shared" si="21"/>
        <v>393</v>
      </c>
      <c r="K103" s="5">
        <f t="shared" si="22"/>
        <v>0.28921568627450983</v>
      </c>
      <c r="L103" s="5">
        <f t="shared" si="23"/>
        <v>0.15012722646310434</v>
      </c>
    </row>
    <row r="104" spans="1:12" x14ac:dyDescent="0.25">
      <c r="A104">
        <f t="shared" si="14"/>
        <v>41</v>
      </c>
      <c r="B104">
        <f t="shared" si="15"/>
        <v>10</v>
      </c>
      <c r="C104" t="str">
        <f t="shared" si="16"/>
        <v>окт</v>
      </c>
      <c r="D104">
        <f t="shared" si="17"/>
        <v>2022</v>
      </c>
      <c r="E104" s="3">
        <v>44846</v>
      </c>
      <c r="F104" t="str">
        <f t="shared" si="18"/>
        <v>41-я нед. 2022</v>
      </c>
      <c r="G104" t="str">
        <f t="shared" si="19"/>
        <v>окт 2022</v>
      </c>
      <c r="H104">
        <v>65</v>
      </c>
      <c r="I104">
        <f t="shared" si="20"/>
        <v>204</v>
      </c>
      <c r="J104">
        <f t="shared" si="21"/>
        <v>393</v>
      </c>
      <c r="K104" s="5">
        <f t="shared" si="22"/>
        <v>0.31862745098039214</v>
      </c>
      <c r="L104" s="5">
        <f t="shared" si="23"/>
        <v>0.16539440203562342</v>
      </c>
    </row>
    <row r="105" spans="1:12" x14ac:dyDescent="0.25">
      <c r="A105">
        <f t="shared" si="14"/>
        <v>41</v>
      </c>
      <c r="B105">
        <f t="shared" si="15"/>
        <v>10</v>
      </c>
      <c r="C105" t="str">
        <f t="shared" si="16"/>
        <v>окт</v>
      </c>
      <c r="D105">
        <f t="shared" si="17"/>
        <v>2022</v>
      </c>
      <c r="E105" s="3">
        <v>44847</v>
      </c>
      <c r="F105" t="str">
        <f t="shared" si="18"/>
        <v>41-я нед. 2022</v>
      </c>
      <c r="G105" t="str">
        <f t="shared" si="19"/>
        <v>окт 2022</v>
      </c>
      <c r="H105">
        <v>53</v>
      </c>
      <c r="I105">
        <f t="shared" si="20"/>
        <v>204</v>
      </c>
      <c r="J105">
        <f t="shared" si="21"/>
        <v>393</v>
      </c>
      <c r="K105" s="5">
        <f t="shared" si="22"/>
        <v>0.25980392156862747</v>
      </c>
      <c r="L105" s="5">
        <f t="shared" si="23"/>
        <v>0.13486005089058525</v>
      </c>
    </row>
    <row r="106" spans="1:12" x14ac:dyDescent="0.25">
      <c r="A106">
        <f t="shared" si="14"/>
        <v>41</v>
      </c>
      <c r="B106">
        <f t="shared" si="15"/>
        <v>10</v>
      </c>
      <c r="C106" t="str">
        <f t="shared" si="16"/>
        <v>окт</v>
      </c>
      <c r="D106">
        <f t="shared" si="17"/>
        <v>2022</v>
      </c>
      <c r="E106" s="3">
        <v>44848</v>
      </c>
      <c r="F106" t="str">
        <f t="shared" si="18"/>
        <v>41-я нед. 2022</v>
      </c>
      <c r="G106" t="str">
        <f t="shared" si="19"/>
        <v>окт 2022</v>
      </c>
      <c r="H106">
        <v>72</v>
      </c>
      <c r="I106">
        <f t="shared" si="20"/>
        <v>204</v>
      </c>
      <c r="J106">
        <f t="shared" si="21"/>
        <v>393</v>
      </c>
      <c r="K106" s="5">
        <f t="shared" si="22"/>
        <v>0.35294117647058826</v>
      </c>
      <c r="L106" s="5">
        <f t="shared" si="23"/>
        <v>0.18320610687022901</v>
      </c>
    </row>
    <row r="107" spans="1:12" x14ac:dyDescent="0.25">
      <c r="A107">
        <f t="shared" si="14"/>
        <v>41</v>
      </c>
      <c r="B107">
        <f t="shared" si="15"/>
        <v>10</v>
      </c>
      <c r="C107" t="str">
        <f t="shared" si="16"/>
        <v>окт</v>
      </c>
      <c r="D107">
        <f t="shared" si="17"/>
        <v>2022</v>
      </c>
      <c r="E107" s="3">
        <v>44849</v>
      </c>
      <c r="F107" t="str">
        <f t="shared" si="18"/>
        <v>41-я нед. 2022</v>
      </c>
      <c r="G107" t="str">
        <f t="shared" si="19"/>
        <v>окт 2022</v>
      </c>
      <c r="H107">
        <v>62</v>
      </c>
      <c r="I107">
        <f t="shared" si="20"/>
        <v>204</v>
      </c>
      <c r="J107">
        <f t="shared" si="21"/>
        <v>393</v>
      </c>
      <c r="K107" s="5">
        <f t="shared" si="22"/>
        <v>0.30392156862745096</v>
      </c>
      <c r="L107" s="5">
        <f t="shared" si="23"/>
        <v>0.15776081424936386</v>
      </c>
    </row>
    <row r="108" spans="1:12" x14ac:dyDescent="0.25">
      <c r="A108">
        <f t="shared" si="14"/>
        <v>41</v>
      </c>
      <c r="B108">
        <f t="shared" si="15"/>
        <v>10</v>
      </c>
      <c r="C108" t="str">
        <f t="shared" si="16"/>
        <v>окт</v>
      </c>
      <c r="D108">
        <f t="shared" si="17"/>
        <v>2022</v>
      </c>
      <c r="E108" s="3">
        <v>44850</v>
      </c>
      <c r="F108" t="str">
        <f t="shared" si="18"/>
        <v>41-я нед. 2022</v>
      </c>
      <c r="G108" t="str">
        <f t="shared" si="19"/>
        <v>окт 2022</v>
      </c>
      <c r="H108">
        <v>62</v>
      </c>
      <c r="I108">
        <f t="shared" si="20"/>
        <v>204</v>
      </c>
      <c r="J108">
        <f t="shared" si="21"/>
        <v>393</v>
      </c>
      <c r="K108" s="5">
        <f t="shared" si="22"/>
        <v>0.30392156862745096</v>
      </c>
      <c r="L108" s="5">
        <f t="shared" si="23"/>
        <v>0.15776081424936386</v>
      </c>
    </row>
    <row r="109" spans="1:12" x14ac:dyDescent="0.25">
      <c r="A109">
        <f t="shared" si="14"/>
        <v>42</v>
      </c>
      <c r="B109">
        <f t="shared" si="15"/>
        <v>10</v>
      </c>
      <c r="C109" t="str">
        <f t="shared" si="16"/>
        <v>окт</v>
      </c>
      <c r="D109">
        <f t="shared" si="17"/>
        <v>2022</v>
      </c>
      <c r="E109" s="3">
        <v>44851</v>
      </c>
      <c r="F109" t="str">
        <f t="shared" si="18"/>
        <v>42-я нед. 2022</v>
      </c>
      <c r="G109" t="str">
        <f t="shared" si="19"/>
        <v>окт 2022</v>
      </c>
      <c r="H109">
        <v>70</v>
      </c>
      <c r="I109">
        <f t="shared" si="20"/>
        <v>201</v>
      </c>
      <c r="J109">
        <f t="shared" si="21"/>
        <v>393</v>
      </c>
      <c r="K109" s="5">
        <f t="shared" si="22"/>
        <v>0.34825870646766172</v>
      </c>
      <c r="L109" s="5">
        <f t="shared" si="23"/>
        <v>0.17811704834605599</v>
      </c>
    </row>
    <row r="110" spans="1:12" x14ac:dyDescent="0.25">
      <c r="A110">
        <f t="shared" si="14"/>
        <v>42</v>
      </c>
      <c r="B110">
        <f t="shared" si="15"/>
        <v>10</v>
      </c>
      <c r="C110" t="str">
        <f t="shared" si="16"/>
        <v>окт</v>
      </c>
      <c r="D110">
        <f t="shared" si="17"/>
        <v>2022</v>
      </c>
      <c r="E110" s="3">
        <v>44852</v>
      </c>
      <c r="F110" t="str">
        <f t="shared" si="18"/>
        <v>42-я нед. 2022</v>
      </c>
      <c r="G110" t="str">
        <f t="shared" si="19"/>
        <v>окт 2022</v>
      </c>
      <c r="H110">
        <v>62</v>
      </c>
      <c r="I110">
        <f t="shared" si="20"/>
        <v>201</v>
      </c>
      <c r="J110">
        <f t="shared" si="21"/>
        <v>393</v>
      </c>
      <c r="K110" s="5">
        <f t="shared" si="22"/>
        <v>0.30845771144278605</v>
      </c>
      <c r="L110" s="5">
        <f t="shared" si="23"/>
        <v>0.15776081424936386</v>
      </c>
    </row>
    <row r="111" spans="1:12" x14ac:dyDescent="0.25">
      <c r="A111">
        <f t="shared" si="14"/>
        <v>42</v>
      </c>
      <c r="B111">
        <f t="shared" si="15"/>
        <v>10</v>
      </c>
      <c r="C111" t="str">
        <f t="shared" si="16"/>
        <v>окт</v>
      </c>
      <c r="D111">
        <f t="shared" si="17"/>
        <v>2022</v>
      </c>
      <c r="E111" s="3">
        <v>44853</v>
      </c>
      <c r="F111" t="str">
        <f t="shared" si="18"/>
        <v>42-я нед. 2022</v>
      </c>
      <c r="G111" t="str">
        <f t="shared" si="19"/>
        <v>окт 2022</v>
      </c>
      <c r="H111">
        <v>82</v>
      </c>
      <c r="I111">
        <f t="shared" si="20"/>
        <v>201</v>
      </c>
      <c r="J111">
        <f t="shared" si="21"/>
        <v>393</v>
      </c>
      <c r="K111" s="5">
        <f t="shared" si="22"/>
        <v>0.4079601990049751</v>
      </c>
      <c r="L111" s="5">
        <f t="shared" si="23"/>
        <v>0.20865139949109415</v>
      </c>
    </row>
    <row r="112" spans="1:12" x14ac:dyDescent="0.25">
      <c r="A112">
        <f t="shared" si="14"/>
        <v>42</v>
      </c>
      <c r="B112">
        <f t="shared" si="15"/>
        <v>10</v>
      </c>
      <c r="C112" t="str">
        <f t="shared" si="16"/>
        <v>окт</v>
      </c>
      <c r="D112">
        <f t="shared" si="17"/>
        <v>2022</v>
      </c>
      <c r="E112" s="3">
        <v>44854</v>
      </c>
      <c r="F112" t="str">
        <f t="shared" si="18"/>
        <v>42-я нед. 2022</v>
      </c>
      <c r="G112" t="str">
        <f t="shared" si="19"/>
        <v>окт 2022</v>
      </c>
      <c r="H112">
        <v>52</v>
      </c>
      <c r="I112">
        <f t="shared" si="20"/>
        <v>201</v>
      </c>
      <c r="J112">
        <f t="shared" si="21"/>
        <v>393</v>
      </c>
      <c r="K112" s="5">
        <f t="shared" si="22"/>
        <v>0.25870646766169153</v>
      </c>
      <c r="L112" s="5">
        <f t="shared" si="23"/>
        <v>0.13231552162849872</v>
      </c>
    </row>
    <row r="113" spans="1:12" x14ac:dyDescent="0.25">
      <c r="A113">
        <f t="shared" si="14"/>
        <v>42</v>
      </c>
      <c r="B113">
        <f t="shared" si="15"/>
        <v>10</v>
      </c>
      <c r="C113" t="str">
        <f t="shared" si="16"/>
        <v>окт</v>
      </c>
      <c r="D113">
        <f t="shared" si="17"/>
        <v>2022</v>
      </c>
      <c r="E113" s="3">
        <v>44855</v>
      </c>
      <c r="F113" t="str">
        <f t="shared" si="18"/>
        <v>42-я нед. 2022</v>
      </c>
      <c r="G113" t="str">
        <f t="shared" si="19"/>
        <v>окт 2022</v>
      </c>
      <c r="H113">
        <v>65</v>
      </c>
      <c r="I113">
        <f t="shared" si="20"/>
        <v>201</v>
      </c>
      <c r="J113">
        <f t="shared" si="21"/>
        <v>393</v>
      </c>
      <c r="K113" s="5">
        <f t="shared" si="22"/>
        <v>0.32338308457711445</v>
      </c>
      <c r="L113" s="5">
        <f t="shared" si="23"/>
        <v>0.16539440203562342</v>
      </c>
    </row>
    <row r="114" spans="1:12" x14ac:dyDescent="0.25">
      <c r="A114">
        <f t="shared" si="14"/>
        <v>42</v>
      </c>
      <c r="B114">
        <f t="shared" si="15"/>
        <v>10</v>
      </c>
      <c r="C114" t="str">
        <f t="shared" si="16"/>
        <v>окт</v>
      </c>
      <c r="D114">
        <f t="shared" si="17"/>
        <v>2022</v>
      </c>
      <c r="E114" s="3">
        <v>44856</v>
      </c>
      <c r="F114" t="str">
        <f t="shared" si="18"/>
        <v>42-я нед. 2022</v>
      </c>
      <c r="G114" t="str">
        <f t="shared" si="19"/>
        <v>окт 2022</v>
      </c>
      <c r="H114">
        <v>64</v>
      </c>
      <c r="I114">
        <f t="shared" si="20"/>
        <v>201</v>
      </c>
      <c r="J114">
        <f t="shared" si="21"/>
        <v>393</v>
      </c>
      <c r="K114" s="5">
        <f t="shared" si="22"/>
        <v>0.31840796019900497</v>
      </c>
      <c r="L114" s="5">
        <f t="shared" si="23"/>
        <v>0.16284987277353691</v>
      </c>
    </row>
    <row r="115" spans="1:12" x14ac:dyDescent="0.25">
      <c r="A115">
        <f t="shared" si="14"/>
        <v>42</v>
      </c>
      <c r="B115">
        <f t="shared" si="15"/>
        <v>10</v>
      </c>
      <c r="C115" t="str">
        <f t="shared" si="16"/>
        <v>окт</v>
      </c>
      <c r="D115">
        <f t="shared" si="17"/>
        <v>2022</v>
      </c>
      <c r="E115" s="3">
        <v>44857</v>
      </c>
      <c r="F115" t="str">
        <f t="shared" si="18"/>
        <v>42-я нед. 2022</v>
      </c>
      <c r="G115" t="str">
        <f t="shared" si="19"/>
        <v>окт 2022</v>
      </c>
      <c r="H115">
        <v>57</v>
      </c>
      <c r="I115">
        <f t="shared" si="20"/>
        <v>201</v>
      </c>
      <c r="J115">
        <f t="shared" si="21"/>
        <v>393</v>
      </c>
      <c r="K115" s="5">
        <f t="shared" si="22"/>
        <v>0.28358208955223879</v>
      </c>
      <c r="L115" s="5">
        <f t="shared" si="23"/>
        <v>0.14503816793893129</v>
      </c>
    </row>
    <row r="116" spans="1:12" x14ac:dyDescent="0.25">
      <c r="A116">
        <f t="shared" si="14"/>
        <v>43</v>
      </c>
      <c r="B116">
        <f t="shared" si="15"/>
        <v>10</v>
      </c>
      <c r="C116" t="str">
        <f t="shared" si="16"/>
        <v>окт</v>
      </c>
      <c r="D116">
        <f t="shared" si="17"/>
        <v>2022</v>
      </c>
      <c r="E116" s="3">
        <v>44858</v>
      </c>
      <c r="F116" t="str">
        <f t="shared" si="18"/>
        <v>43-я нед. 2022</v>
      </c>
      <c r="G116" t="str">
        <f t="shared" si="19"/>
        <v>окт 2022</v>
      </c>
      <c r="H116">
        <v>58</v>
      </c>
      <c r="I116">
        <f t="shared" si="20"/>
        <v>213</v>
      </c>
      <c r="J116">
        <f t="shared" si="21"/>
        <v>393</v>
      </c>
      <c r="K116" s="5">
        <f t="shared" si="22"/>
        <v>0.27230046948356806</v>
      </c>
      <c r="L116" s="5">
        <f t="shared" si="23"/>
        <v>0.1475826972010178</v>
      </c>
    </row>
    <row r="117" spans="1:12" x14ac:dyDescent="0.25">
      <c r="A117">
        <f t="shared" si="14"/>
        <v>43</v>
      </c>
      <c r="B117">
        <f t="shared" si="15"/>
        <v>10</v>
      </c>
      <c r="C117" t="str">
        <f t="shared" si="16"/>
        <v>окт</v>
      </c>
      <c r="D117">
        <f t="shared" si="17"/>
        <v>2022</v>
      </c>
      <c r="E117" s="3">
        <v>44859</v>
      </c>
      <c r="F117" t="str">
        <f t="shared" si="18"/>
        <v>43-я нед. 2022</v>
      </c>
      <c r="G117" t="str">
        <f t="shared" si="19"/>
        <v>окт 2022</v>
      </c>
      <c r="H117">
        <v>66</v>
      </c>
      <c r="I117">
        <f t="shared" si="20"/>
        <v>213</v>
      </c>
      <c r="J117">
        <f t="shared" si="21"/>
        <v>393</v>
      </c>
      <c r="K117" s="5">
        <f t="shared" si="22"/>
        <v>0.30985915492957744</v>
      </c>
      <c r="L117" s="5">
        <f t="shared" si="23"/>
        <v>0.16793893129770993</v>
      </c>
    </row>
    <row r="118" spans="1:12" x14ac:dyDescent="0.25">
      <c r="A118">
        <f t="shared" si="14"/>
        <v>43</v>
      </c>
      <c r="B118">
        <f t="shared" si="15"/>
        <v>10</v>
      </c>
      <c r="C118" t="str">
        <f t="shared" si="16"/>
        <v>окт</v>
      </c>
      <c r="D118">
        <f t="shared" si="17"/>
        <v>2022</v>
      </c>
      <c r="E118" s="3">
        <v>44860</v>
      </c>
      <c r="F118" t="str">
        <f t="shared" si="18"/>
        <v>43-я нед. 2022</v>
      </c>
      <c r="G118" t="str">
        <f t="shared" si="19"/>
        <v>окт 2022</v>
      </c>
      <c r="H118">
        <v>60</v>
      </c>
      <c r="I118">
        <f t="shared" si="20"/>
        <v>213</v>
      </c>
      <c r="J118">
        <f t="shared" si="21"/>
        <v>393</v>
      </c>
      <c r="K118" s="5">
        <f t="shared" si="22"/>
        <v>0.28169014084507044</v>
      </c>
      <c r="L118" s="5">
        <f t="shared" si="23"/>
        <v>0.15267175572519084</v>
      </c>
    </row>
    <row r="119" spans="1:12" x14ac:dyDescent="0.25">
      <c r="A119">
        <f t="shared" si="14"/>
        <v>43</v>
      </c>
      <c r="B119">
        <f t="shared" si="15"/>
        <v>10</v>
      </c>
      <c r="C119" t="str">
        <f t="shared" si="16"/>
        <v>окт</v>
      </c>
      <c r="D119">
        <f t="shared" si="17"/>
        <v>2022</v>
      </c>
      <c r="E119" s="3">
        <v>44861</v>
      </c>
      <c r="F119" t="str">
        <f t="shared" si="18"/>
        <v>43-я нед. 2022</v>
      </c>
      <c r="G119" t="str">
        <f t="shared" si="19"/>
        <v>окт 2022</v>
      </c>
      <c r="H119">
        <v>55</v>
      </c>
      <c r="I119">
        <f t="shared" si="20"/>
        <v>213</v>
      </c>
      <c r="J119">
        <f t="shared" si="21"/>
        <v>393</v>
      </c>
      <c r="K119" s="5">
        <f t="shared" si="22"/>
        <v>0.25821596244131456</v>
      </c>
      <c r="L119" s="5">
        <f t="shared" si="23"/>
        <v>0.13994910941475827</v>
      </c>
    </row>
    <row r="120" spans="1:12" x14ac:dyDescent="0.25">
      <c r="A120">
        <f t="shared" si="14"/>
        <v>43</v>
      </c>
      <c r="B120">
        <f t="shared" si="15"/>
        <v>10</v>
      </c>
      <c r="C120" t="str">
        <f t="shared" si="16"/>
        <v>окт</v>
      </c>
      <c r="D120">
        <f t="shared" si="17"/>
        <v>2022</v>
      </c>
      <c r="E120" s="3">
        <v>44862</v>
      </c>
      <c r="F120" t="str">
        <f t="shared" si="18"/>
        <v>43-я нед. 2022</v>
      </c>
      <c r="G120" t="str">
        <f t="shared" si="19"/>
        <v>окт 2022</v>
      </c>
      <c r="H120">
        <v>65</v>
      </c>
      <c r="I120">
        <f t="shared" si="20"/>
        <v>213</v>
      </c>
      <c r="J120">
        <f t="shared" si="21"/>
        <v>393</v>
      </c>
      <c r="K120" s="5">
        <f t="shared" si="22"/>
        <v>0.30516431924882631</v>
      </c>
      <c r="L120" s="5">
        <f t="shared" si="23"/>
        <v>0.16539440203562342</v>
      </c>
    </row>
    <row r="121" spans="1:12" x14ac:dyDescent="0.25">
      <c r="A121">
        <f t="shared" si="14"/>
        <v>43</v>
      </c>
      <c r="B121">
        <f t="shared" si="15"/>
        <v>10</v>
      </c>
      <c r="C121" t="str">
        <f t="shared" si="16"/>
        <v>окт</v>
      </c>
      <c r="D121">
        <f t="shared" si="17"/>
        <v>2022</v>
      </c>
      <c r="E121" s="3">
        <v>44863</v>
      </c>
      <c r="F121" t="str">
        <f t="shared" si="18"/>
        <v>43-я нед. 2022</v>
      </c>
      <c r="G121" t="str">
        <f t="shared" si="19"/>
        <v>окт 2022</v>
      </c>
      <c r="H121">
        <v>54</v>
      </c>
      <c r="I121">
        <f t="shared" si="20"/>
        <v>213</v>
      </c>
      <c r="J121">
        <f t="shared" si="21"/>
        <v>393</v>
      </c>
      <c r="K121" s="5">
        <f t="shared" si="22"/>
        <v>0.25352112676056338</v>
      </c>
      <c r="L121" s="5">
        <f t="shared" si="23"/>
        <v>0.13740458015267176</v>
      </c>
    </row>
    <row r="122" spans="1:12" x14ac:dyDescent="0.25">
      <c r="A122">
        <f t="shared" si="14"/>
        <v>43</v>
      </c>
      <c r="B122">
        <f t="shared" si="15"/>
        <v>10</v>
      </c>
      <c r="C122" t="str">
        <f t="shared" si="16"/>
        <v>окт</v>
      </c>
      <c r="D122">
        <f t="shared" si="17"/>
        <v>2022</v>
      </c>
      <c r="E122" s="3">
        <v>44864</v>
      </c>
      <c r="F122" t="str">
        <f t="shared" si="18"/>
        <v>43-я нед. 2022</v>
      </c>
      <c r="G122" t="str">
        <f t="shared" si="19"/>
        <v>окт 2022</v>
      </c>
      <c r="H122">
        <v>66</v>
      </c>
      <c r="I122">
        <f t="shared" si="20"/>
        <v>213</v>
      </c>
      <c r="J122">
        <f t="shared" si="21"/>
        <v>393</v>
      </c>
      <c r="K122" s="5">
        <f t="shared" si="22"/>
        <v>0.30985915492957744</v>
      </c>
      <c r="L122" s="5">
        <f t="shared" si="23"/>
        <v>0.16793893129770993</v>
      </c>
    </row>
    <row r="123" spans="1:12" x14ac:dyDescent="0.25">
      <c r="A123">
        <f t="shared" si="14"/>
        <v>44</v>
      </c>
      <c r="B123">
        <f t="shared" si="15"/>
        <v>10</v>
      </c>
      <c r="C123" t="str">
        <f t="shared" si="16"/>
        <v>окт</v>
      </c>
      <c r="D123">
        <f t="shared" si="17"/>
        <v>2022</v>
      </c>
      <c r="E123" s="3">
        <v>44865</v>
      </c>
      <c r="F123" t="str">
        <f t="shared" si="18"/>
        <v>44-я нед. 2022</v>
      </c>
      <c r="G123" t="str">
        <f t="shared" si="19"/>
        <v>окт 2022</v>
      </c>
      <c r="H123">
        <v>72</v>
      </c>
      <c r="I123">
        <f t="shared" si="20"/>
        <v>214</v>
      </c>
      <c r="J123">
        <f t="shared" si="21"/>
        <v>393</v>
      </c>
      <c r="K123" s="5">
        <f t="shared" si="22"/>
        <v>0.3364485981308411</v>
      </c>
      <c r="L123" s="5">
        <f t="shared" si="23"/>
        <v>0.18320610687022901</v>
      </c>
    </row>
    <row r="124" spans="1:12" x14ac:dyDescent="0.25">
      <c r="A124">
        <f t="shared" si="14"/>
        <v>44</v>
      </c>
      <c r="B124">
        <f t="shared" si="15"/>
        <v>11</v>
      </c>
      <c r="C124" t="str">
        <f t="shared" si="16"/>
        <v>ноя</v>
      </c>
      <c r="D124">
        <f t="shared" si="17"/>
        <v>2022</v>
      </c>
      <c r="E124" s="3">
        <v>44866</v>
      </c>
      <c r="F124" t="str">
        <f t="shared" si="18"/>
        <v>44-я нед. 2022</v>
      </c>
      <c r="G124" t="str">
        <f t="shared" si="19"/>
        <v>ноя 2022</v>
      </c>
      <c r="H124">
        <v>58</v>
      </c>
      <c r="I124">
        <f t="shared" si="20"/>
        <v>214</v>
      </c>
      <c r="J124">
        <f t="shared" si="21"/>
        <v>426</v>
      </c>
      <c r="K124" s="5">
        <f t="shared" si="22"/>
        <v>0.27102803738317754</v>
      </c>
      <c r="L124" s="5">
        <f t="shared" si="23"/>
        <v>0.13615023474178403</v>
      </c>
    </row>
    <row r="125" spans="1:12" x14ac:dyDescent="0.25">
      <c r="A125">
        <f t="shared" si="14"/>
        <v>44</v>
      </c>
      <c r="B125">
        <f t="shared" si="15"/>
        <v>11</v>
      </c>
      <c r="C125" t="str">
        <f t="shared" si="16"/>
        <v>ноя</v>
      </c>
      <c r="D125">
        <f t="shared" si="17"/>
        <v>2022</v>
      </c>
      <c r="E125" s="3">
        <v>44867</v>
      </c>
      <c r="F125" t="str">
        <f t="shared" si="18"/>
        <v>44-я нед. 2022</v>
      </c>
      <c r="G125" t="str">
        <f t="shared" si="19"/>
        <v>ноя 2022</v>
      </c>
      <c r="H125">
        <v>55</v>
      </c>
      <c r="I125">
        <f t="shared" si="20"/>
        <v>214</v>
      </c>
      <c r="J125">
        <f t="shared" si="21"/>
        <v>426</v>
      </c>
      <c r="K125" s="5">
        <f t="shared" si="22"/>
        <v>0.2570093457943925</v>
      </c>
      <c r="L125" s="5">
        <f t="shared" si="23"/>
        <v>0.12910798122065728</v>
      </c>
    </row>
    <row r="126" spans="1:12" x14ac:dyDescent="0.25">
      <c r="A126">
        <f t="shared" si="14"/>
        <v>44</v>
      </c>
      <c r="B126">
        <f t="shared" si="15"/>
        <v>11</v>
      </c>
      <c r="C126" t="str">
        <f t="shared" si="16"/>
        <v>ноя</v>
      </c>
      <c r="D126">
        <f t="shared" si="17"/>
        <v>2022</v>
      </c>
      <c r="E126" s="3">
        <v>44868</v>
      </c>
      <c r="F126" t="str">
        <f t="shared" si="18"/>
        <v>44-я нед. 2022</v>
      </c>
      <c r="G126" t="str">
        <f t="shared" si="19"/>
        <v>ноя 2022</v>
      </c>
      <c r="H126">
        <v>56</v>
      </c>
      <c r="I126">
        <f t="shared" si="20"/>
        <v>214</v>
      </c>
      <c r="J126">
        <f t="shared" si="21"/>
        <v>426</v>
      </c>
      <c r="K126" s="5">
        <f t="shared" si="22"/>
        <v>0.26168224299065418</v>
      </c>
      <c r="L126" s="5">
        <f t="shared" si="23"/>
        <v>0.13145539906103287</v>
      </c>
    </row>
    <row r="127" spans="1:12" x14ac:dyDescent="0.25">
      <c r="A127">
        <f t="shared" si="14"/>
        <v>44</v>
      </c>
      <c r="B127">
        <f t="shared" si="15"/>
        <v>11</v>
      </c>
      <c r="C127" t="str">
        <f t="shared" si="16"/>
        <v>ноя</v>
      </c>
      <c r="D127">
        <f t="shared" si="17"/>
        <v>2022</v>
      </c>
      <c r="E127" s="3">
        <v>44869</v>
      </c>
      <c r="F127" t="str">
        <f t="shared" si="18"/>
        <v>44-я нед. 2022</v>
      </c>
      <c r="G127" t="str">
        <f t="shared" si="19"/>
        <v>ноя 2022</v>
      </c>
      <c r="H127">
        <v>63</v>
      </c>
      <c r="I127">
        <f t="shared" si="20"/>
        <v>214</v>
      </c>
      <c r="J127">
        <f t="shared" si="21"/>
        <v>426</v>
      </c>
      <c r="K127" s="5">
        <f t="shared" si="22"/>
        <v>0.29439252336448596</v>
      </c>
      <c r="L127" s="5">
        <f t="shared" si="23"/>
        <v>0.14788732394366197</v>
      </c>
    </row>
    <row r="128" spans="1:12" x14ac:dyDescent="0.25">
      <c r="A128">
        <f t="shared" si="14"/>
        <v>44</v>
      </c>
      <c r="B128">
        <f t="shared" si="15"/>
        <v>11</v>
      </c>
      <c r="C128" t="str">
        <f t="shared" si="16"/>
        <v>ноя</v>
      </c>
      <c r="D128">
        <f t="shared" si="17"/>
        <v>2022</v>
      </c>
      <c r="E128" s="3">
        <v>44870</v>
      </c>
      <c r="F128" t="str">
        <f t="shared" si="18"/>
        <v>44-я нед. 2022</v>
      </c>
      <c r="G128" t="str">
        <f t="shared" si="19"/>
        <v>ноя 2022</v>
      </c>
      <c r="H128">
        <v>69</v>
      </c>
      <c r="I128">
        <f t="shared" si="20"/>
        <v>214</v>
      </c>
      <c r="J128">
        <f t="shared" si="21"/>
        <v>426</v>
      </c>
      <c r="K128" s="5">
        <f t="shared" si="22"/>
        <v>0.32242990654205606</v>
      </c>
      <c r="L128" s="5">
        <f t="shared" si="23"/>
        <v>0.1619718309859155</v>
      </c>
    </row>
    <row r="129" spans="1:12" x14ac:dyDescent="0.25">
      <c r="A129">
        <f t="shared" si="14"/>
        <v>44</v>
      </c>
      <c r="B129">
        <f t="shared" si="15"/>
        <v>11</v>
      </c>
      <c r="C129" t="str">
        <f t="shared" si="16"/>
        <v>ноя</v>
      </c>
      <c r="D129">
        <f t="shared" si="17"/>
        <v>2022</v>
      </c>
      <c r="E129" s="3">
        <v>44871</v>
      </c>
      <c r="F129" t="str">
        <f t="shared" si="18"/>
        <v>44-я нед. 2022</v>
      </c>
      <c r="G129" t="str">
        <f t="shared" si="19"/>
        <v>ноя 2022</v>
      </c>
      <c r="H129">
        <v>62</v>
      </c>
      <c r="I129">
        <f t="shared" si="20"/>
        <v>214</v>
      </c>
      <c r="J129">
        <f t="shared" si="21"/>
        <v>426</v>
      </c>
      <c r="K129" s="5">
        <f t="shared" si="22"/>
        <v>0.28971962616822428</v>
      </c>
      <c r="L129" s="5">
        <f t="shared" si="23"/>
        <v>0.14553990610328638</v>
      </c>
    </row>
    <row r="130" spans="1:12" x14ac:dyDescent="0.25">
      <c r="A130">
        <f t="shared" ref="A130:A193" si="24">_xlfn.ISOWEEKNUM(E130)</f>
        <v>45</v>
      </c>
      <c r="B130">
        <f t="shared" ref="B130:B193" si="25">MONTH(E130)</f>
        <v>11</v>
      </c>
      <c r="C130" t="str">
        <f t="shared" ref="C130:C193" si="26">VLOOKUP(B130,AN:AO,2,0)</f>
        <v>ноя</v>
      </c>
      <c r="D130">
        <f t="shared" ref="D130:D193" si="27">YEAR(E130)</f>
        <v>2022</v>
      </c>
      <c r="E130" s="3">
        <v>44872</v>
      </c>
      <c r="F130" t="str">
        <f t="shared" ref="F130:F193" si="28">VLOOKUP(A130,AA:AC,3,0)</f>
        <v>45-я нед. 2022</v>
      </c>
      <c r="G130" t="str">
        <f t="shared" ref="G130:G193" si="29">CONCATENATE(C130," ",D130)</f>
        <v>ноя 2022</v>
      </c>
      <c r="H130">
        <v>60</v>
      </c>
      <c r="I130">
        <f t="shared" ref="I130:I193" si="30">VLOOKUP(A130,AA:AD,4,0)</f>
        <v>203</v>
      </c>
      <c r="J130">
        <f t="shared" ref="J130:J193" si="31">VLOOKUP(G130,AJ:AK,2,0)</f>
        <v>426</v>
      </c>
      <c r="K130" s="5">
        <f t="shared" si="22"/>
        <v>0.29556650246305421</v>
      </c>
      <c r="L130" s="5">
        <f t="shared" si="23"/>
        <v>0.14084507042253522</v>
      </c>
    </row>
    <row r="131" spans="1:12" x14ac:dyDescent="0.25">
      <c r="A131">
        <f t="shared" si="24"/>
        <v>45</v>
      </c>
      <c r="B131">
        <f t="shared" si="25"/>
        <v>11</v>
      </c>
      <c r="C131" t="str">
        <f t="shared" si="26"/>
        <v>ноя</v>
      </c>
      <c r="D131">
        <f t="shared" si="27"/>
        <v>2022</v>
      </c>
      <c r="E131" s="3">
        <v>44873</v>
      </c>
      <c r="F131" t="str">
        <f t="shared" si="28"/>
        <v>45-я нед. 2022</v>
      </c>
      <c r="G131" t="str">
        <f t="shared" si="29"/>
        <v>ноя 2022</v>
      </c>
      <c r="H131">
        <v>60</v>
      </c>
      <c r="I131">
        <f t="shared" si="30"/>
        <v>203</v>
      </c>
      <c r="J131">
        <f t="shared" si="31"/>
        <v>426</v>
      </c>
      <c r="K131" s="5">
        <f t="shared" ref="K131:K194" si="32">H131/I131</f>
        <v>0.29556650246305421</v>
      </c>
      <c r="L131" s="5">
        <f t="shared" ref="L131:L194" si="33">H131/J131</f>
        <v>0.14084507042253522</v>
      </c>
    </row>
    <row r="132" spans="1:12" x14ac:dyDescent="0.25">
      <c r="A132">
        <f t="shared" si="24"/>
        <v>45</v>
      </c>
      <c r="B132">
        <f t="shared" si="25"/>
        <v>11</v>
      </c>
      <c r="C132" t="str">
        <f t="shared" si="26"/>
        <v>ноя</v>
      </c>
      <c r="D132">
        <f t="shared" si="27"/>
        <v>2022</v>
      </c>
      <c r="E132" s="3">
        <v>44874</v>
      </c>
      <c r="F132" t="str">
        <f t="shared" si="28"/>
        <v>45-я нед. 2022</v>
      </c>
      <c r="G132" t="str">
        <f t="shared" si="29"/>
        <v>ноя 2022</v>
      </c>
      <c r="H132">
        <v>60</v>
      </c>
      <c r="I132">
        <f t="shared" si="30"/>
        <v>203</v>
      </c>
      <c r="J132">
        <f t="shared" si="31"/>
        <v>426</v>
      </c>
      <c r="K132" s="5">
        <f t="shared" si="32"/>
        <v>0.29556650246305421</v>
      </c>
      <c r="L132" s="5">
        <f t="shared" si="33"/>
        <v>0.14084507042253522</v>
      </c>
    </row>
    <row r="133" spans="1:12" x14ac:dyDescent="0.25">
      <c r="A133">
        <f t="shared" si="24"/>
        <v>45</v>
      </c>
      <c r="B133">
        <f t="shared" si="25"/>
        <v>11</v>
      </c>
      <c r="C133" t="str">
        <f t="shared" si="26"/>
        <v>ноя</v>
      </c>
      <c r="D133">
        <f t="shared" si="27"/>
        <v>2022</v>
      </c>
      <c r="E133" s="3">
        <v>44875</v>
      </c>
      <c r="F133" t="str">
        <f t="shared" si="28"/>
        <v>45-я нед. 2022</v>
      </c>
      <c r="G133" t="str">
        <f t="shared" si="29"/>
        <v>ноя 2022</v>
      </c>
      <c r="H133">
        <v>55</v>
      </c>
      <c r="I133">
        <f t="shared" si="30"/>
        <v>203</v>
      </c>
      <c r="J133">
        <f t="shared" si="31"/>
        <v>426</v>
      </c>
      <c r="K133" s="5">
        <f t="shared" si="32"/>
        <v>0.27093596059113301</v>
      </c>
      <c r="L133" s="5">
        <f t="shared" si="33"/>
        <v>0.12910798122065728</v>
      </c>
    </row>
    <row r="134" spans="1:12" x14ac:dyDescent="0.25">
      <c r="A134">
        <f t="shared" si="24"/>
        <v>45</v>
      </c>
      <c r="B134">
        <f t="shared" si="25"/>
        <v>11</v>
      </c>
      <c r="C134" t="str">
        <f t="shared" si="26"/>
        <v>ноя</v>
      </c>
      <c r="D134">
        <f t="shared" si="27"/>
        <v>2022</v>
      </c>
      <c r="E134" s="3">
        <v>44876</v>
      </c>
      <c r="F134" t="str">
        <f t="shared" si="28"/>
        <v>45-я нед. 2022</v>
      </c>
      <c r="G134" t="str">
        <f t="shared" si="29"/>
        <v>ноя 2022</v>
      </c>
      <c r="H134">
        <v>62</v>
      </c>
      <c r="I134">
        <f t="shared" si="30"/>
        <v>203</v>
      </c>
      <c r="J134">
        <f t="shared" si="31"/>
        <v>426</v>
      </c>
      <c r="K134" s="5">
        <f t="shared" si="32"/>
        <v>0.30541871921182268</v>
      </c>
      <c r="L134" s="5">
        <f t="shared" si="33"/>
        <v>0.14553990610328638</v>
      </c>
    </row>
    <row r="135" spans="1:12" x14ac:dyDescent="0.25">
      <c r="A135">
        <f t="shared" si="24"/>
        <v>45</v>
      </c>
      <c r="B135">
        <f t="shared" si="25"/>
        <v>11</v>
      </c>
      <c r="C135" t="str">
        <f t="shared" si="26"/>
        <v>ноя</v>
      </c>
      <c r="D135">
        <f t="shared" si="27"/>
        <v>2022</v>
      </c>
      <c r="E135" s="3">
        <v>44877</v>
      </c>
      <c r="F135" t="str">
        <f t="shared" si="28"/>
        <v>45-я нед. 2022</v>
      </c>
      <c r="G135" t="str">
        <f t="shared" si="29"/>
        <v>ноя 2022</v>
      </c>
      <c r="H135">
        <v>53</v>
      </c>
      <c r="I135">
        <f t="shared" si="30"/>
        <v>203</v>
      </c>
      <c r="J135">
        <f t="shared" si="31"/>
        <v>426</v>
      </c>
      <c r="K135" s="5">
        <f t="shared" si="32"/>
        <v>0.26108374384236455</v>
      </c>
      <c r="L135" s="5">
        <f t="shared" si="33"/>
        <v>0.12441314553990611</v>
      </c>
    </row>
    <row r="136" spans="1:12" x14ac:dyDescent="0.25">
      <c r="A136">
        <f t="shared" si="24"/>
        <v>45</v>
      </c>
      <c r="B136">
        <f t="shared" si="25"/>
        <v>11</v>
      </c>
      <c r="C136" t="str">
        <f t="shared" si="26"/>
        <v>ноя</v>
      </c>
      <c r="D136">
        <f t="shared" si="27"/>
        <v>2022</v>
      </c>
      <c r="E136" s="3">
        <v>44878</v>
      </c>
      <c r="F136" t="str">
        <f t="shared" si="28"/>
        <v>45-я нед. 2022</v>
      </c>
      <c r="G136" t="str">
        <f t="shared" si="29"/>
        <v>ноя 2022</v>
      </c>
      <c r="H136">
        <v>54</v>
      </c>
      <c r="I136">
        <f t="shared" si="30"/>
        <v>203</v>
      </c>
      <c r="J136">
        <f t="shared" si="31"/>
        <v>426</v>
      </c>
      <c r="K136" s="5">
        <f t="shared" si="32"/>
        <v>0.26600985221674878</v>
      </c>
      <c r="L136" s="5">
        <f t="shared" si="33"/>
        <v>0.12676056338028169</v>
      </c>
    </row>
    <row r="137" spans="1:12" x14ac:dyDescent="0.25">
      <c r="A137">
        <f t="shared" si="24"/>
        <v>46</v>
      </c>
      <c r="B137">
        <f t="shared" si="25"/>
        <v>11</v>
      </c>
      <c r="C137" t="str">
        <f t="shared" si="26"/>
        <v>ноя</v>
      </c>
      <c r="D137">
        <f t="shared" si="27"/>
        <v>2022</v>
      </c>
      <c r="E137" s="3">
        <v>44879</v>
      </c>
      <c r="F137" t="str">
        <f t="shared" si="28"/>
        <v>46-я нед. 2022</v>
      </c>
      <c r="G137" t="str">
        <f t="shared" si="29"/>
        <v>ноя 2022</v>
      </c>
      <c r="H137">
        <v>46</v>
      </c>
      <c r="I137">
        <f t="shared" si="30"/>
        <v>202</v>
      </c>
      <c r="J137">
        <f t="shared" si="31"/>
        <v>426</v>
      </c>
      <c r="K137" s="5">
        <f t="shared" si="32"/>
        <v>0.22772277227722773</v>
      </c>
      <c r="L137" s="5">
        <f t="shared" si="33"/>
        <v>0.107981220657277</v>
      </c>
    </row>
    <row r="138" spans="1:12" x14ac:dyDescent="0.25">
      <c r="A138">
        <f t="shared" si="24"/>
        <v>46</v>
      </c>
      <c r="B138">
        <f t="shared" si="25"/>
        <v>11</v>
      </c>
      <c r="C138" t="str">
        <f t="shared" si="26"/>
        <v>ноя</v>
      </c>
      <c r="D138">
        <f t="shared" si="27"/>
        <v>2022</v>
      </c>
      <c r="E138" s="3">
        <v>44880</v>
      </c>
      <c r="F138" t="str">
        <f t="shared" si="28"/>
        <v>46-я нед. 2022</v>
      </c>
      <c r="G138" t="str">
        <f t="shared" si="29"/>
        <v>ноя 2022</v>
      </c>
      <c r="H138">
        <v>55</v>
      </c>
      <c r="I138">
        <f t="shared" si="30"/>
        <v>202</v>
      </c>
      <c r="J138">
        <f t="shared" si="31"/>
        <v>426</v>
      </c>
      <c r="K138" s="5">
        <f t="shared" si="32"/>
        <v>0.2722772277227723</v>
      </c>
      <c r="L138" s="5">
        <f t="shared" si="33"/>
        <v>0.12910798122065728</v>
      </c>
    </row>
    <row r="139" spans="1:12" x14ac:dyDescent="0.25">
      <c r="A139">
        <f t="shared" si="24"/>
        <v>46</v>
      </c>
      <c r="B139">
        <f t="shared" si="25"/>
        <v>11</v>
      </c>
      <c r="C139" t="str">
        <f t="shared" si="26"/>
        <v>ноя</v>
      </c>
      <c r="D139">
        <f t="shared" si="27"/>
        <v>2022</v>
      </c>
      <c r="E139" s="3">
        <v>44881</v>
      </c>
      <c r="F139" t="str">
        <f t="shared" si="28"/>
        <v>46-я нед. 2022</v>
      </c>
      <c r="G139" t="str">
        <f t="shared" si="29"/>
        <v>ноя 2022</v>
      </c>
      <c r="H139">
        <v>51</v>
      </c>
      <c r="I139">
        <f t="shared" si="30"/>
        <v>202</v>
      </c>
      <c r="J139">
        <f t="shared" si="31"/>
        <v>426</v>
      </c>
      <c r="K139" s="5">
        <f t="shared" si="32"/>
        <v>0.25247524752475248</v>
      </c>
      <c r="L139" s="5">
        <f t="shared" si="33"/>
        <v>0.11971830985915492</v>
      </c>
    </row>
    <row r="140" spans="1:12" x14ac:dyDescent="0.25">
      <c r="A140">
        <f t="shared" si="24"/>
        <v>46</v>
      </c>
      <c r="B140">
        <f t="shared" si="25"/>
        <v>11</v>
      </c>
      <c r="C140" t="str">
        <f t="shared" si="26"/>
        <v>ноя</v>
      </c>
      <c r="D140">
        <f t="shared" si="27"/>
        <v>2022</v>
      </c>
      <c r="E140" s="3">
        <v>44882</v>
      </c>
      <c r="F140" t="str">
        <f t="shared" si="28"/>
        <v>46-я нед. 2022</v>
      </c>
      <c r="G140" t="str">
        <f t="shared" si="29"/>
        <v>ноя 2022</v>
      </c>
      <c r="H140">
        <v>58</v>
      </c>
      <c r="I140">
        <f t="shared" si="30"/>
        <v>202</v>
      </c>
      <c r="J140">
        <f t="shared" si="31"/>
        <v>426</v>
      </c>
      <c r="K140" s="5">
        <f t="shared" si="32"/>
        <v>0.28712871287128711</v>
      </c>
      <c r="L140" s="5">
        <f t="shared" si="33"/>
        <v>0.13615023474178403</v>
      </c>
    </row>
    <row r="141" spans="1:12" x14ac:dyDescent="0.25">
      <c r="A141">
        <f t="shared" si="24"/>
        <v>46</v>
      </c>
      <c r="B141">
        <f t="shared" si="25"/>
        <v>11</v>
      </c>
      <c r="C141" t="str">
        <f t="shared" si="26"/>
        <v>ноя</v>
      </c>
      <c r="D141">
        <f t="shared" si="27"/>
        <v>2022</v>
      </c>
      <c r="E141" s="3">
        <v>44883</v>
      </c>
      <c r="F141" t="str">
        <f t="shared" si="28"/>
        <v>46-я нед. 2022</v>
      </c>
      <c r="G141" t="str">
        <f t="shared" si="29"/>
        <v>ноя 2022</v>
      </c>
      <c r="H141">
        <v>51</v>
      </c>
      <c r="I141">
        <f t="shared" si="30"/>
        <v>202</v>
      </c>
      <c r="J141">
        <f t="shared" si="31"/>
        <v>426</v>
      </c>
      <c r="K141" s="5">
        <f t="shared" si="32"/>
        <v>0.25247524752475248</v>
      </c>
      <c r="L141" s="5">
        <f t="shared" si="33"/>
        <v>0.11971830985915492</v>
      </c>
    </row>
    <row r="142" spans="1:12" x14ac:dyDescent="0.25">
      <c r="A142">
        <f t="shared" si="24"/>
        <v>46</v>
      </c>
      <c r="B142">
        <f t="shared" si="25"/>
        <v>11</v>
      </c>
      <c r="C142" t="str">
        <f t="shared" si="26"/>
        <v>ноя</v>
      </c>
      <c r="D142">
        <f t="shared" si="27"/>
        <v>2022</v>
      </c>
      <c r="E142" s="3">
        <v>44884</v>
      </c>
      <c r="F142" t="str">
        <f t="shared" si="28"/>
        <v>46-я нед. 2022</v>
      </c>
      <c r="G142" t="str">
        <f t="shared" si="29"/>
        <v>ноя 2022</v>
      </c>
      <c r="H142">
        <v>40</v>
      </c>
      <c r="I142">
        <f t="shared" si="30"/>
        <v>202</v>
      </c>
      <c r="J142">
        <f t="shared" si="31"/>
        <v>426</v>
      </c>
      <c r="K142" s="5">
        <f t="shared" si="32"/>
        <v>0.19801980198019803</v>
      </c>
      <c r="L142" s="5">
        <f t="shared" si="33"/>
        <v>9.3896713615023469E-2</v>
      </c>
    </row>
    <row r="143" spans="1:12" x14ac:dyDescent="0.25">
      <c r="A143">
        <f t="shared" si="24"/>
        <v>46</v>
      </c>
      <c r="B143">
        <f t="shared" si="25"/>
        <v>11</v>
      </c>
      <c r="C143" t="str">
        <f t="shared" si="26"/>
        <v>ноя</v>
      </c>
      <c r="D143">
        <f t="shared" si="27"/>
        <v>2022</v>
      </c>
      <c r="E143" s="3">
        <v>44885</v>
      </c>
      <c r="F143" t="str">
        <f t="shared" si="28"/>
        <v>46-я нед. 2022</v>
      </c>
      <c r="G143" t="str">
        <f t="shared" si="29"/>
        <v>ноя 2022</v>
      </c>
      <c r="H143">
        <v>50</v>
      </c>
      <c r="I143">
        <f t="shared" si="30"/>
        <v>202</v>
      </c>
      <c r="J143">
        <f t="shared" si="31"/>
        <v>426</v>
      </c>
      <c r="K143" s="5">
        <f t="shared" si="32"/>
        <v>0.24752475247524752</v>
      </c>
      <c r="L143" s="5">
        <f t="shared" si="33"/>
        <v>0.11737089201877934</v>
      </c>
    </row>
    <row r="144" spans="1:12" x14ac:dyDescent="0.25">
      <c r="A144">
        <f t="shared" si="24"/>
        <v>47</v>
      </c>
      <c r="B144">
        <f t="shared" si="25"/>
        <v>11</v>
      </c>
      <c r="C144" t="str">
        <f t="shared" si="26"/>
        <v>ноя</v>
      </c>
      <c r="D144">
        <f t="shared" si="27"/>
        <v>2022</v>
      </c>
      <c r="E144" s="3">
        <v>44886</v>
      </c>
      <c r="F144" t="str">
        <f t="shared" si="28"/>
        <v>47-я нед. 2022</v>
      </c>
      <c r="G144" t="str">
        <f t="shared" si="29"/>
        <v>ноя 2022</v>
      </c>
      <c r="H144">
        <v>34</v>
      </c>
      <c r="I144">
        <f t="shared" si="30"/>
        <v>167</v>
      </c>
      <c r="J144">
        <f t="shared" si="31"/>
        <v>426</v>
      </c>
      <c r="K144" s="5">
        <f t="shared" si="32"/>
        <v>0.20359281437125748</v>
      </c>
      <c r="L144" s="5">
        <f t="shared" si="33"/>
        <v>7.9812206572769953E-2</v>
      </c>
    </row>
    <row r="145" spans="1:12" x14ac:dyDescent="0.25">
      <c r="A145">
        <f t="shared" si="24"/>
        <v>47</v>
      </c>
      <c r="B145">
        <f t="shared" si="25"/>
        <v>11</v>
      </c>
      <c r="C145" t="str">
        <f t="shared" si="26"/>
        <v>ноя</v>
      </c>
      <c r="D145">
        <f t="shared" si="27"/>
        <v>2022</v>
      </c>
      <c r="E145" s="3">
        <v>44887</v>
      </c>
      <c r="F145" t="str">
        <f t="shared" si="28"/>
        <v>47-я нед. 2022</v>
      </c>
      <c r="G145" t="str">
        <f t="shared" si="29"/>
        <v>ноя 2022</v>
      </c>
      <c r="H145">
        <v>41</v>
      </c>
      <c r="I145">
        <f t="shared" si="30"/>
        <v>167</v>
      </c>
      <c r="J145">
        <f t="shared" si="31"/>
        <v>426</v>
      </c>
      <c r="K145" s="5">
        <f t="shared" si="32"/>
        <v>0.24550898203592814</v>
      </c>
      <c r="L145" s="5">
        <f t="shared" si="33"/>
        <v>9.6244131455399062E-2</v>
      </c>
    </row>
    <row r="146" spans="1:12" x14ac:dyDescent="0.25">
      <c r="A146">
        <f t="shared" si="24"/>
        <v>47</v>
      </c>
      <c r="B146">
        <f t="shared" si="25"/>
        <v>11</v>
      </c>
      <c r="C146" t="str">
        <f t="shared" si="26"/>
        <v>ноя</v>
      </c>
      <c r="D146">
        <f t="shared" si="27"/>
        <v>2022</v>
      </c>
      <c r="E146" s="3">
        <v>44888</v>
      </c>
      <c r="F146" t="str">
        <f t="shared" si="28"/>
        <v>47-я нед. 2022</v>
      </c>
      <c r="G146" t="str">
        <f t="shared" si="29"/>
        <v>ноя 2022</v>
      </c>
      <c r="H146">
        <v>39</v>
      </c>
      <c r="I146">
        <f t="shared" si="30"/>
        <v>167</v>
      </c>
      <c r="J146">
        <f t="shared" si="31"/>
        <v>426</v>
      </c>
      <c r="K146" s="5">
        <f t="shared" si="32"/>
        <v>0.23353293413173654</v>
      </c>
      <c r="L146" s="5">
        <f t="shared" si="33"/>
        <v>9.154929577464789E-2</v>
      </c>
    </row>
    <row r="147" spans="1:12" x14ac:dyDescent="0.25">
      <c r="A147">
        <f t="shared" si="24"/>
        <v>47</v>
      </c>
      <c r="B147">
        <f t="shared" si="25"/>
        <v>11</v>
      </c>
      <c r="C147" t="str">
        <f t="shared" si="26"/>
        <v>ноя</v>
      </c>
      <c r="D147">
        <f t="shared" si="27"/>
        <v>2022</v>
      </c>
      <c r="E147" s="3">
        <v>44889</v>
      </c>
      <c r="F147" t="str">
        <f t="shared" si="28"/>
        <v>47-я нед. 2022</v>
      </c>
      <c r="G147" t="str">
        <f t="shared" si="29"/>
        <v>ноя 2022</v>
      </c>
      <c r="H147">
        <v>32</v>
      </c>
      <c r="I147">
        <f t="shared" si="30"/>
        <v>167</v>
      </c>
      <c r="J147">
        <f t="shared" si="31"/>
        <v>426</v>
      </c>
      <c r="K147" s="5">
        <f t="shared" si="32"/>
        <v>0.19161676646706588</v>
      </c>
      <c r="L147" s="5">
        <f t="shared" si="33"/>
        <v>7.5117370892018781E-2</v>
      </c>
    </row>
    <row r="148" spans="1:12" x14ac:dyDescent="0.25">
      <c r="A148">
        <f t="shared" si="24"/>
        <v>47</v>
      </c>
      <c r="B148">
        <f t="shared" si="25"/>
        <v>11</v>
      </c>
      <c r="C148" t="str">
        <f t="shared" si="26"/>
        <v>ноя</v>
      </c>
      <c r="D148">
        <f t="shared" si="27"/>
        <v>2022</v>
      </c>
      <c r="E148" s="3">
        <v>44890</v>
      </c>
      <c r="F148" t="str">
        <f t="shared" si="28"/>
        <v>47-я нед. 2022</v>
      </c>
      <c r="G148" t="str">
        <f t="shared" si="29"/>
        <v>ноя 2022</v>
      </c>
      <c r="H148">
        <v>32</v>
      </c>
      <c r="I148">
        <f t="shared" si="30"/>
        <v>167</v>
      </c>
      <c r="J148">
        <f t="shared" si="31"/>
        <v>426</v>
      </c>
      <c r="K148" s="5">
        <f t="shared" si="32"/>
        <v>0.19161676646706588</v>
      </c>
      <c r="L148" s="5">
        <f t="shared" si="33"/>
        <v>7.5117370892018781E-2</v>
      </c>
    </row>
    <row r="149" spans="1:12" x14ac:dyDescent="0.25">
      <c r="A149">
        <f t="shared" si="24"/>
        <v>47</v>
      </c>
      <c r="B149">
        <f t="shared" si="25"/>
        <v>11</v>
      </c>
      <c r="C149" t="str">
        <f t="shared" si="26"/>
        <v>ноя</v>
      </c>
      <c r="D149">
        <f t="shared" si="27"/>
        <v>2022</v>
      </c>
      <c r="E149" s="3">
        <v>44891</v>
      </c>
      <c r="F149" t="str">
        <f t="shared" si="28"/>
        <v>47-я нед. 2022</v>
      </c>
      <c r="G149" t="str">
        <f t="shared" si="29"/>
        <v>ноя 2022</v>
      </c>
      <c r="H149">
        <v>31</v>
      </c>
      <c r="I149">
        <f t="shared" si="30"/>
        <v>167</v>
      </c>
      <c r="J149">
        <f t="shared" si="31"/>
        <v>426</v>
      </c>
      <c r="K149" s="5">
        <f t="shared" si="32"/>
        <v>0.18562874251497005</v>
      </c>
      <c r="L149" s="5">
        <f t="shared" si="33"/>
        <v>7.2769953051643188E-2</v>
      </c>
    </row>
    <row r="150" spans="1:12" x14ac:dyDescent="0.25">
      <c r="A150">
        <f t="shared" si="24"/>
        <v>47</v>
      </c>
      <c r="B150">
        <f t="shared" si="25"/>
        <v>11</v>
      </c>
      <c r="C150" t="str">
        <f t="shared" si="26"/>
        <v>ноя</v>
      </c>
      <c r="D150">
        <f t="shared" si="27"/>
        <v>2022</v>
      </c>
      <c r="E150" s="3">
        <v>44892</v>
      </c>
      <c r="F150" t="str">
        <f t="shared" si="28"/>
        <v>47-я нед. 2022</v>
      </c>
      <c r="G150" t="str">
        <f t="shared" si="29"/>
        <v>ноя 2022</v>
      </c>
      <c r="H150">
        <v>35</v>
      </c>
      <c r="I150">
        <f t="shared" si="30"/>
        <v>167</v>
      </c>
      <c r="J150">
        <f t="shared" si="31"/>
        <v>426</v>
      </c>
      <c r="K150" s="5">
        <f t="shared" si="32"/>
        <v>0.20958083832335328</v>
      </c>
      <c r="L150" s="5">
        <f t="shared" si="33"/>
        <v>8.2159624413145546E-2</v>
      </c>
    </row>
    <row r="151" spans="1:12" x14ac:dyDescent="0.25">
      <c r="A151">
        <f t="shared" si="24"/>
        <v>48</v>
      </c>
      <c r="B151">
        <f t="shared" si="25"/>
        <v>11</v>
      </c>
      <c r="C151" t="str">
        <f t="shared" si="26"/>
        <v>ноя</v>
      </c>
      <c r="D151">
        <f t="shared" si="27"/>
        <v>2022</v>
      </c>
      <c r="E151" s="3">
        <v>44893</v>
      </c>
      <c r="F151" t="str">
        <f t="shared" si="28"/>
        <v>48-я нед. 2022</v>
      </c>
      <c r="G151" t="str">
        <f t="shared" si="29"/>
        <v>ноя 2022</v>
      </c>
      <c r="H151">
        <v>32</v>
      </c>
      <c r="I151">
        <f t="shared" si="30"/>
        <v>157</v>
      </c>
      <c r="J151">
        <f t="shared" si="31"/>
        <v>426</v>
      </c>
      <c r="K151" s="5">
        <f t="shared" si="32"/>
        <v>0.20382165605095542</v>
      </c>
      <c r="L151" s="5">
        <f t="shared" si="33"/>
        <v>7.5117370892018781E-2</v>
      </c>
    </row>
    <row r="152" spans="1:12" x14ac:dyDescent="0.25">
      <c r="A152">
        <f t="shared" si="24"/>
        <v>48</v>
      </c>
      <c r="B152">
        <f t="shared" si="25"/>
        <v>11</v>
      </c>
      <c r="C152" t="str">
        <f t="shared" si="26"/>
        <v>ноя</v>
      </c>
      <c r="D152">
        <f t="shared" si="27"/>
        <v>2022</v>
      </c>
      <c r="E152" s="3">
        <v>44894</v>
      </c>
      <c r="F152" t="str">
        <f t="shared" si="28"/>
        <v>48-я нед. 2022</v>
      </c>
      <c r="G152" t="str">
        <f t="shared" si="29"/>
        <v>ноя 2022</v>
      </c>
      <c r="H152">
        <v>23</v>
      </c>
      <c r="I152">
        <f t="shared" si="30"/>
        <v>157</v>
      </c>
      <c r="J152">
        <f t="shared" si="31"/>
        <v>426</v>
      </c>
      <c r="K152" s="5">
        <f t="shared" si="32"/>
        <v>0.1464968152866242</v>
      </c>
      <c r="L152" s="5">
        <f t="shared" si="33"/>
        <v>5.39906103286385E-2</v>
      </c>
    </row>
    <row r="153" spans="1:12" x14ac:dyDescent="0.25">
      <c r="A153">
        <f t="shared" si="24"/>
        <v>48</v>
      </c>
      <c r="B153">
        <f t="shared" si="25"/>
        <v>11</v>
      </c>
      <c r="C153" t="str">
        <f t="shared" si="26"/>
        <v>ноя</v>
      </c>
      <c r="D153">
        <f t="shared" si="27"/>
        <v>2022</v>
      </c>
      <c r="E153" s="3">
        <v>44895</v>
      </c>
      <c r="F153" t="str">
        <f t="shared" si="28"/>
        <v>48-я нед. 2022</v>
      </c>
      <c r="G153" t="str">
        <f t="shared" si="29"/>
        <v>ноя 2022</v>
      </c>
      <c r="H153">
        <v>35</v>
      </c>
      <c r="I153">
        <f t="shared" si="30"/>
        <v>157</v>
      </c>
      <c r="J153">
        <f t="shared" si="31"/>
        <v>426</v>
      </c>
      <c r="K153" s="5">
        <f t="shared" si="32"/>
        <v>0.22292993630573249</v>
      </c>
      <c r="L153" s="5">
        <f t="shared" si="33"/>
        <v>8.2159624413145546E-2</v>
      </c>
    </row>
    <row r="154" spans="1:12" x14ac:dyDescent="0.25">
      <c r="A154">
        <f t="shared" si="24"/>
        <v>48</v>
      </c>
      <c r="B154">
        <f t="shared" si="25"/>
        <v>12</v>
      </c>
      <c r="C154" t="str">
        <f t="shared" si="26"/>
        <v>дек</v>
      </c>
      <c r="D154">
        <f t="shared" si="27"/>
        <v>2022</v>
      </c>
      <c r="E154" s="3">
        <v>44896</v>
      </c>
      <c r="F154" t="str">
        <f t="shared" si="28"/>
        <v>48-я нед. 2022</v>
      </c>
      <c r="G154" t="str">
        <f t="shared" si="29"/>
        <v>дек 2022</v>
      </c>
      <c r="H154">
        <v>32</v>
      </c>
      <c r="I154">
        <f t="shared" si="30"/>
        <v>157</v>
      </c>
      <c r="J154">
        <f t="shared" si="31"/>
        <v>390</v>
      </c>
      <c r="K154" s="5">
        <f t="shared" si="32"/>
        <v>0.20382165605095542</v>
      </c>
      <c r="L154" s="5">
        <f t="shared" si="33"/>
        <v>8.2051282051282051E-2</v>
      </c>
    </row>
    <row r="155" spans="1:12" x14ac:dyDescent="0.25">
      <c r="A155">
        <f t="shared" si="24"/>
        <v>48</v>
      </c>
      <c r="B155">
        <f t="shared" si="25"/>
        <v>12</v>
      </c>
      <c r="C155" t="str">
        <f t="shared" si="26"/>
        <v>дек</v>
      </c>
      <c r="D155">
        <f t="shared" si="27"/>
        <v>2022</v>
      </c>
      <c r="E155" s="3">
        <v>44897</v>
      </c>
      <c r="F155" t="str">
        <f t="shared" si="28"/>
        <v>48-я нед. 2022</v>
      </c>
      <c r="G155" t="str">
        <f t="shared" si="29"/>
        <v>дек 2022</v>
      </c>
      <c r="H155">
        <v>25</v>
      </c>
      <c r="I155">
        <f t="shared" si="30"/>
        <v>157</v>
      </c>
      <c r="J155">
        <f t="shared" si="31"/>
        <v>390</v>
      </c>
      <c r="K155" s="5">
        <f t="shared" si="32"/>
        <v>0.15923566878980891</v>
      </c>
      <c r="L155" s="5">
        <f t="shared" si="33"/>
        <v>6.4102564102564097E-2</v>
      </c>
    </row>
    <row r="156" spans="1:12" x14ac:dyDescent="0.25">
      <c r="A156">
        <f t="shared" si="24"/>
        <v>48</v>
      </c>
      <c r="B156">
        <f t="shared" si="25"/>
        <v>12</v>
      </c>
      <c r="C156" t="str">
        <f t="shared" si="26"/>
        <v>дек</v>
      </c>
      <c r="D156">
        <f t="shared" si="27"/>
        <v>2022</v>
      </c>
      <c r="E156" s="3">
        <v>44898</v>
      </c>
      <c r="F156" t="str">
        <f t="shared" si="28"/>
        <v>48-я нед. 2022</v>
      </c>
      <c r="G156" t="str">
        <f t="shared" si="29"/>
        <v>дек 2022</v>
      </c>
      <c r="H156">
        <v>19</v>
      </c>
      <c r="I156">
        <f t="shared" si="30"/>
        <v>157</v>
      </c>
      <c r="J156">
        <f t="shared" si="31"/>
        <v>390</v>
      </c>
      <c r="K156" s="5">
        <f t="shared" si="32"/>
        <v>0.12101910828025478</v>
      </c>
      <c r="L156" s="5">
        <f t="shared" si="33"/>
        <v>4.8717948717948718E-2</v>
      </c>
    </row>
    <row r="157" spans="1:12" x14ac:dyDescent="0.25">
      <c r="A157">
        <f t="shared" si="24"/>
        <v>48</v>
      </c>
      <c r="B157">
        <f t="shared" si="25"/>
        <v>12</v>
      </c>
      <c r="C157" t="str">
        <f t="shared" si="26"/>
        <v>дек</v>
      </c>
      <c r="D157">
        <f t="shared" si="27"/>
        <v>2022</v>
      </c>
      <c r="E157" s="3">
        <v>44899</v>
      </c>
      <c r="F157" t="str">
        <f t="shared" si="28"/>
        <v>48-я нед. 2022</v>
      </c>
      <c r="G157" t="str">
        <f t="shared" si="29"/>
        <v>дек 2022</v>
      </c>
      <c r="H157">
        <v>30</v>
      </c>
      <c r="I157">
        <f t="shared" si="30"/>
        <v>157</v>
      </c>
      <c r="J157">
        <f t="shared" si="31"/>
        <v>390</v>
      </c>
      <c r="K157" s="5">
        <f t="shared" si="32"/>
        <v>0.19108280254777071</v>
      </c>
      <c r="L157" s="5">
        <f t="shared" si="33"/>
        <v>7.6923076923076927E-2</v>
      </c>
    </row>
    <row r="158" spans="1:12" x14ac:dyDescent="0.25">
      <c r="A158">
        <f t="shared" si="24"/>
        <v>49</v>
      </c>
      <c r="B158">
        <f t="shared" si="25"/>
        <v>12</v>
      </c>
      <c r="C158" t="str">
        <f t="shared" si="26"/>
        <v>дек</v>
      </c>
      <c r="D158">
        <f t="shared" si="27"/>
        <v>2022</v>
      </c>
      <c r="E158" s="3">
        <v>44900</v>
      </c>
      <c r="F158" t="str">
        <f t="shared" si="28"/>
        <v>49-я нед. 2022</v>
      </c>
      <c r="G158" t="str">
        <f t="shared" si="29"/>
        <v>дек 2022</v>
      </c>
      <c r="H158">
        <v>23</v>
      </c>
      <c r="I158">
        <f t="shared" si="30"/>
        <v>156</v>
      </c>
      <c r="J158">
        <f t="shared" si="31"/>
        <v>390</v>
      </c>
      <c r="K158" s="5">
        <f t="shared" si="32"/>
        <v>0.14743589743589744</v>
      </c>
      <c r="L158" s="5">
        <f t="shared" si="33"/>
        <v>5.8974358974358973E-2</v>
      </c>
    </row>
    <row r="159" spans="1:12" x14ac:dyDescent="0.25">
      <c r="A159">
        <f t="shared" si="24"/>
        <v>49</v>
      </c>
      <c r="B159">
        <f t="shared" si="25"/>
        <v>12</v>
      </c>
      <c r="C159" t="str">
        <f t="shared" si="26"/>
        <v>дек</v>
      </c>
      <c r="D159">
        <f t="shared" si="27"/>
        <v>2022</v>
      </c>
      <c r="E159" s="3">
        <v>44901</v>
      </c>
      <c r="F159" t="str">
        <f t="shared" si="28"/>
        <v>49-я нед. 2022</v>
      </c>
      <c r="G159" t="str">
        <f t="shared" si="29"/>
        <v>дек 2022</v>
      </c>
      <c r="H159">
        <v>32</v>
      </c>
      <c r="I159">
        <f t="shared" si="30"/>
        <v>156</v>
      </c>
      <c r="J159">
        <f t="shared" si="31"/>
        <v>390</v>
      </c>
      <c r="K159" s="5">
        <f t="shared" si="32"/>
        <v>0.20512820512820512</v>
      </c>
      <c r="L159" s="5">
        <f t="shared" si="33"/>
        <v>8.2051282051282051E-2</v>
      </c>
    </row>
    <row r="160" spans="1:12" x14ac:dyDescent="0.25">
      <c r="A160">
        <f t="shared" si="24"/>
        <v>49</v>
      </c>
      <c r="B160">
        <f t="shared" si="25"/>
        <v>12</v>
      </c>
      <c r="C160" t="str">
        <f t="shared" si="26"/>
        <v>дек</v>
      </c>
      <c r="D160">
        <f t="shared" si="27"/>
        <v>2022</v>
      </c>
      <c r="E160" s="3">
        <v>44902</v>
      </c>
      <c r="F160" t="str">
        <f t="shared" si="28"/>
        <v>49-я нед. 2022</v>
      </c>
      <c r="G160" t="str">
        <f t="shared" si="29"/>
        <v>дек 2022</v>
      </c>
      <c r="H160">
        <v>35</v>
      </c>
      <c r="I160">
        <f t="shared" si="30"/>
        <v>156</v>
      </c>
      <c r="J160">
        <f t="shared" si="31"/>
        <v>390</v>
      </c>
      <c r="K160" s="5">
        <f t="shared" si="32"/>
        <v>0.22435897435897437</v>
      </c>
      <c r="L160" s="5">
        <f t="shared" si="33"/>
        <v>8.9743589743589744E-2</v>
      </c>
    </row>
    <row r="161" spans="1:12" x14ac:dyDescent="0.25">
      <c r="A161">
        <f t="shared" si="24"/>
        <v>49</v>
      </c>
      <c r="B161">
        <f t="shared" si="25"/>
        <v>12</v>
      </c>
      <c r="C161" t="str">
        <f t="shared" si="26"/>
        <v>дек</v>
      </c>
      <c r="D161">
        <f t="shared" si="27"/>
        <v>2022</v>
      </c>
      <c r="E161" s="3">
        <v>44903</v>
      </c>
      <c r="F161" t="str">
        <f t="shared" si="28"/>
        <v>49-я нед. 2022</v>
      </c>
      <c r="G161" t="str">
        <f t="shared" si="29"/>
        <v>дек 2022</v>
      </c>
      <c r="H161">
        <v>29</v>
      </c>
      <c r="I161">
        <f t="shared" si="30"/>
        <v>156</v>
      </c>
      <c r="J161">
        <f t="shared" si="31"/>
        <v>390</v>
      </c>
      <c r="K161" s="5">
        <f t="shared" si="32"/>
        <v>0.1858974358974359</v>
      </c>
      <c r="L161" s="5">
        <f t="shared" si="33"/>
        <v>7.4358974358974358E-2</v>
      </c>
    </row>
    <row r="162" spans="1:12" x14ac:dyDescent="0.25">
      <c r="A162">
        <f t="shared" si="24"/>
        <v>49</v>
      </c>
      <c r="B162">
        <f t="shared" si="25"/>
        <v>12</v>
      </c>
      <c r="C162" t="str">
        <f t="shared" si="26"/>
        <v>дек</v>
      </c>
      <c r="D162">
        <f t="shared" si="27"/>
        <v>2022</v>
      </c>
      <c r="E162" s="3">
        <v>44904</v>
      </c>
      <c r="F162" t="str">
        <f t="shared" si="28"/>
        <v>49-я нед. 2022</v>
      </c>
      <c r="G162" t="str">
        <f t="shared" si="29"/>
        <v>дек 2022</v>
      </c>
      <c r="H162">
        <v>36</v>
      </c>
      <c r="I162">
        <f t="shared" si="30"/>
        <v>156</v>
      </c>
      <c r="J162">
        <f t="shared" si="31"/>
        <v>390</v>
      </c>
      <c r="K162" s="5">
        <f t="shared" si="32"/>
        <v>0.23076923076923078</v>
      </c>
      <c r="L162" s="5">
        <f t="shared" si="33"/>
        <v>9.2307692307692313E-2</v>
      </c>
    </row>
    <row r="163" spans="1:12" x14ac:dyDescent="0.25">
      <c r="A163">
        <f t="shared" si="24"/>
        <v>49</v>
      </c>
      <c r="B163">
        <f t="shared" si="25"/>
        <v>12</v>
      </c>
      <c r="C163" t="str">
        <f t="shared" si="26"/>
        <v>дек</v>
      </c>
      <c r="D163">
        <f t="shared" si="27"/>
        <v>2022</v>
      </c>
      <c r="E163" s="3">
        <v>44905</v>
      </c>
      <c r="F163" t="str">
        <f t="shared" si="28"/>
        <v>49-я нед. 2022</v>
      </c>
      <c r="G163" t="str">
        <f t="shared" si="29"/>
        <v>дек 2022</v>
      </c>
      <c r="H163">
        <v>30</v>
      </c>
      <c r="I163">
        <f t="shared" si="30"/>
        <v>156</v>
      </c>
      <c r="J163">
        <f t="shared" si="31"/>
        <v>390</v>
      </c>
      <c r="K163" s="5">
        <f t="shared" si="32"/>
        <v>0.19230769230769232</v>
      </c>
      <c r="L163" s="5">
        <f t="shared" si="33"/>
        <v>7.6923076923076927E-2</v>
      </c>
    </row>
    <row r="164" spans="1:12" x14ac:dyDescent="0.25">
      <c r="A164">
        <f t="shared" si="24"/>
        <v>49</v>
      </c>
      <c r="B164">
        <f t="shared" si="25"/>
        <v>12</v>
      </c>
      <c r="C164" t="str">
        <f t="shared" si="26"/>
        <v>дек</v>
      </c>
      <c r="D164">
        <f t="shared" si="27"/>
        <v>2022</v>
      </c>
      <c r="E164" s="3">
        <v>44906</v>
      </c>
      <c r="F164" t="str">
        <f t="shared" si="28"/>
        <v>49-я нед. 2022</v>
      </c>
      <c r="G164" t="str">
        <f t="shared" si="29"/>
        <v>дек 2022</v>
      </c>
      <c r="H164">
        <v>25</v>
      </c>
      <c r="I164">
        <f t="shared" si="30"/>
        <v>156</v>
      </c>
      <c r="J164">
        <f t="shared" si="31"/>
        <v>390</v>
      </c>
      <c r="K164" s="5">
        <f t="shared" si="32"/>
        <v>0.16025641025641027</v>
      </c>
      <c r="L164" s="5">
        <f t="shared" si="33"/>
        <v>6.4102564102564097E-2</v>
      </c>
    </row>
    <row r="165" spans="1:12" x14ac:dyDescent="0.25">
      <c r="A165">
        <f t="shared" si="24"/>
        <v>50</v>
      </c>
      <c r="B165">
        <f t="shared" si="25"/>
        <v>12</v>
      </c>
      <c r="C165" t="str">
        <f t="shared" si="26"/>
        <v>дек</v>
      </c>
      <c r="D165">
        <f t="shared" si="27"/>
        <v>2022</v>
      </c>
      <c r="E165" s="3">
        <v>44907</v>
      </c>
      <c r="F165" t="str">
        <f t="shared" si="28"/>
        <v>50-я нед. 2022</v>
      </c>
      <c r="G165" t="str">
        <f t="shared" si="29"/>
        <v>дек 2022</v>
      </c>
      <c r="H165">
        <v>31</v>
      </c>
      <c r="I165">
        <f t="shared" si="30"/>
        <v>153</v>
      </c>
      <c r="J165">
        <f t="shared" si="31"/>
        <v>390</v>
      </c>
      <c r="K165" s="5">
        <f t="shared" si="32"/>
        <v>0.20261437908496732</v>
      </c>
      <c r="L165" s="5">
        <f t="shared" si="33"/>
        <v>7.9487179487179482E-2</v>
      </c>
    </row>
    <row r="166" spans="1:12" x14ac:dyDescent="0.25">
      <c r="A166">
        <f t="shared" si="24"/>
        <v>50</v>
      </c>
      <c r="B166">
        <f t="shared" si="25"/>
        <v>12</v>
      </c>
      <c r="C166" t="str">
        <f t="shared" si="26"/>
        <v>дек</v>
      </c>
      <c r="D166">
        <f t="shared" si="27"/>
        <v>2022</v>
      </c>
      <c r="E166" s="3">
        <v>44908</v>
      </c>
      <c r="F166" t="str">
        <f t="shared" si="28"/>
        <v>50-я нед. 2022</v>
      </c>
      <c r="G166" t="str">
        <f t="shared" si="29"/>
        <v>дек 2022</v>
      </c>
      <c r="H166">
        <v>34</v>
      </c>
      <c r="I166">
        <f t="shared" si="30"/>
        <v>153</v>
      </c>
      <c r="J166">
        <f t="shared" si="31"/>
        <v>390</v>
      </c>
      <c r="K166" s="5">
        <f t="shared" si="32"/>
        <v>0.22222222222222221</v>
      </c>
      <c r="L166" s="5">
        <f t="shared" si="33"/>
        <v>8.7179487179487175E-2</v>
      </c>
    </row>
    <row r="167" spans="1:12" x14ac:dyDescent="0.25">
      <c r="A167">
        <f t="shared" si="24"/>
        <v>50</v>
      </c>
      <c r="B167">
        <f t="shared" si="25"/>
        <v>12</v>
      </c>
      <c r="C167" t="str">
        <f t="shared" si="26"/>
        <v>дек</v>
      </c>
      <c r="D167">
        <f t="shared" si="27"/>
        <v>2022</v>
      </c>
      <c r="E167" s="3">
        <v>44909</v>
      </c>
      <c r="F167" t="str">
        <f t="shared" si="28"/>
        <v>50-я нед. 2022</v>
      </c>
      <c r="G167" t="str">
        <f t="shared" si="29"/>
        <v>дек 2022</v>
      </c>
      <c r="H167">
        <v>22</v>
      </c>
      <c r="I167">
        <f t="shared" si="30"/>
        <v>153</v>
      </c>
      <c r="J167">
        <f t="shared" si="31"/>
        <v>390</v>
      </c>
      <c r="K167" s="5">
        <f t="shared" si="32"/>
        <v>0.1437908496732026</v>
      </c>
      <c r="L167" s="5">
        <f t="shared" si="33"/>
        <v>5.6410256410256411E-2</v>
      </c>
    </row>
    <row r="168" spans="1:12" x14ac:dyDescent="0.25">
      <c r="A168">
        <f t="shared" si="24"/>
        <v>50</v>
      </c>
      <c r="B168">
        <f t="shared" si="25"/>
        <v>12</v>
      </c>
      <c r="C168" t="str">
        <f t="shared" si="26"/>
        <v>дек</v>
      </c>
      <c r="D168">
        <f t="shared" si="27"/>
        <v>2022</v>
      </c>
      <c r="E168" s="3">
        <v>44910</v>
      </c>
      <c r="F168" t="str">
        <f t="shared" si="28"/>
        <v>50-я нед. 2022</v>
      </c>
      <c r="G168" t="str">
        <f t="shared" si="29"/>
        <v>дек 2022</v>
      </c>
      <c r="H168">
        <v>26</v>
      </c>
      <c r="I168">
        <f t="shared" si="30"/>
        <v>153</v>
      </c>
      <c r="J168">
        <f t="shared" si="31"/>
        <v>390</v>
      </c>
      <c r="K168" s="5">
        <f t="shared" si="32"/>
        <v>0.16993464052287582</v>
      </c>
      <c r="L168" s="5">
        <f t="shared" si="33"/>
        <v>6.6666666666666666E-2</v>
      </c>
    </row>
    <row r="169" spans="1:12" x14ac:dyDescent="0.25">
      <c r="A169">
        <f t="shared" si="24"/>
        <v>50</v>
      </c>
      <c r="B169">
        <f t="shared" si="25"/>
        <v>12</v>
      </c>
      <c r="C169" t="str">
        <f t="shared" si="26"/>
        <v>дек</v>
      </c>
      <c r="D169">
        <f t="shared" si="27"/>
        <v>2022</v>
      </c>
      <c r="E169" s="3">
        <v>44911</v>
      </c>
      <c r="F169" t="str">
        <f t="shared" si="28"/>
        <v>50-я нед. 2022</v>
      </c>
      <c r="G169" t="str">
        <f t="shared" si="29"/>
        <v>дек 2022</v>
      </c>
      <c r="H169">
        <v>27</v>
      </c>
      <c r="I169">
        <f t="shared" si="30"/>
        <v>153</v>
      </c>
      <c r="J169">
        <f t="shared" si="31"/>
        <v>390</v>
      </c>
      <c r="K169" s="5">
        <f t="shared" si="32"/>
        <v>0.17647058823529413</v>
      </c>
      <c r="L169" s="5">
        <f t="shared" si="33"/>
        <v>6.9230769230769235E-2</v>
      </c>
    </row>
    <row r="170" spans="1:12" x14ac:dyDescent="0.25">
      <c r="A170">
        <f t="shared" si="24"/>
        <v>50</v>
      </c>
      <c r="B170">
        <f t="shared" si="25"/>
        <v>12</v>
      </c>
      <c r="C170" t="str">
        <f t="shared" si="26"/>
        <v>дек</v>
      </c>
      <c r="D170">
        <f t="shared" si="27"/>
        <v>2022</v>
      </c>
      <c r="E170" s="3">
        <v>44912</v>
      </c>
      <c r="F170" t="str">
        <f t="shared" si="28"/>
        <v>50-я нед. 2022</v>
      </c>
      <c r="G170" t="str">
        <f t="shared" si="29"/>
        <v>дек 2022</v>
      </c>
      <c r="H170">
        <v>28</v>
      </c>
      <c r="I170">
        <f t="shared" si="30"/>
        <v>153</v>
      </c>
      <c r="J170">
        <f t="shared" si="31"/>
        <v>390</v>
      </c>
      <c r="K170" s="5">
        <f t="shared" si="32"/>
        <v>0.18300653594771241</v>
      </c>
      <c r="L170" s="5">
        <f t="shared" si="33"/>
        <v>7.179487179487179E-2</v>
      </c>
    </row>
    <row r="171" spans="1:12" x14ac:dyDescent="0.25">
      <c r="A171">
        <f t="shared" si="24"/>
        <v>50</v>
      </c>
      <c r="B171">
        <f t="shared" si="25"/>
        <v>12</v>
      </c>
      <c r="C171" t="str">
        <f t="shared" si="26"/>
        <v>дек</v>
      </c>
      <c r="D171">
        <f t="shared" si="27"/>
        <v>2022</v>
      </c>
      <c r="E171" s="3">
        <v>44913</v>
      </c>
      <c r="F171" t="str">
        <f t="shared" si="28"/>
        <v>50-я нед. 2022</v>
      </c>
      <c r="G171" t="str">
        <f t="shared" si="29"/>
        <v>дек 2022</v>
      </c>
      <c r="H171">
        <v>20</v>
      </c>
      <c r="I171">
        <f t="shared" si="30"/>
        <v>153</v>
      </c>
      <c r="J171">
        <f t="shared" si="31"/>
        <v>390</v>
      </c>
      <c r="K171" s="5">
        <f t="shared" si="32"/>
        <v>0.13071895424836602</v>
      </c>
      <c r="L171" s="5">
        <f t="shared" si="33"/>
        <v>5.128205128205128E-2</v>
      </c>
    </row>
    <row r="172" spans="1:12" x14ac:dyDescent="0.25">
      <c r="A172">
        <f t="shared" si="24"/>
        <v>51</v>
      </c>
      <c r="B172">
        <f t="shared" si="25"/>
        <v>12</v>
      </c>
      <c r="C172" t="str">
        <f t="shared" si="26"/>
        <v>дек</v>
      </c>
      <c r="D172">
        <f t="shared" si="27"/>
        <v>2022</v>
      </c>
      <c r="E172" s="3">
        <v>44914</v>
      </c>
      <c r="F172" t="str">
        <f t="shared" si="28"/>
        <v>51-я нед. 2022</v>
      </c>
      <c r="G172" t="str">
        <f t="shared" si="29"/>
        <v>дек 2022</v>
      </c>
      <c r="H172">
        <v>32</v>
      </c>
      <c r="I172">
        <f t="shared" si="30"/>
        <v>145</v>
      </c>
      <c r="J172">
        <f t="shared" si="31"/>
        <v>390</v>
      </c>
      <c r="K172" s="5">
        <f t="shared" si="32"/>
        <v>0.22068965517241379</v>
      </c>
      <c r="L172" s="5">
        <f t="shared" si="33"/>
        <v>8.2051282051282051E-2</v>
      </c>
    </row>
    <row r="173" spans="1:12" x14ac:dyDescent="0.25">
      <c r="A173">
        <f t="shared" si="24"/>
        <v>51</v>
      </c>
      <c r="B173">
        <f t="shared" si="25"/>
        <v>12</v>
      </c>
      <c r="C173" t="str">
        <f t="shared" si="26"/>
        <v>дек</v>
      </c>
      <c r="D173">
        <f t="shared" si="27"/>
        <v>2022</v>
      </c>
      <c r="E173" s="3">
        <v>44915</v>
      </c>
      <c r="F173" t="str">
        <f t="shared" si="28"/>
        <v>51-я нед. 2022</v>
      </c>
      <c r="G173" t="str">
        <f t="shared" si="29"/>
        <v>дек 2022</v>
      </c>
      <c r="H173">
        <v>28</v>
      </c>
      <c r="I173">
        <f t="shared" si="30"/>
        <v>145</v>
      </c>
      <c r="J173">
        <f t="shared" si="31"/>
        <v>390</v>
      </c>
      <c r="K173" s="5">
        <f t="shared" si="32"/>
        <v>0.19310344827586207</v>
      </c>
      <c r="L173" s="5">
        <f t="shared" si="33"/>
        <v>7.179487179487179E-2</v>
      </c>
    </row>
    <row r="174" spans="1:12" x14ac:dyDescent="0.25">
      <c r="A174">
        <f t="shared" si="24"/>
        <v>51</v>
      </c>
      <c r="B174">
        <f t="shared" si="25"/>
        <v>12</v>
      </c>
      <c r="C174" t="str">
        <f t="shared" si="26"/>
        <v>дек</v>
      </c>
      <c r="D174">
        <f t="shared" si="27"/>
        <v>2022</v>
      </c>
      <c r="E174" s="3">
        <v>44916</v>
      </c>
      <c r="F174" t="str">
        <f t="shared" si="28"/>
        <v>51-я нед. 2022</v>
      </c>
      <c r="G174" t="str">
        <f t="shared" si="29"/>
        <v>дек 2022</v>
      </c>
      <c r="H174">
        <v>28</v>
      </c>
      <c r="I174">
        <f t="shared" si="30"/>
        <v>145</v>
      </c>
      <c r="J174">
        <f t="shared" si="31"/>
        <v>390</v>
      </c>
      <c r="K174" s="5">
        <f t="shared" si="32"/>
        <v>0.19310344827586207</v>
      </c>
      <c r="L174" s="5">
        <f t="shared" si="33"/>
        <v>7.179487179487179E-2</v>
      </c>
    </row>
    <row r="175" spans="1:12" x14ac:dyDescent="0.25">
      <c r="A175">
        <f t="shared" si="24"/>
        <v>51</v>
      </c>
      <c r="B175">
        <f t="shared" si="25"/>
        <v>12</v>
      </c>
      <c r="C175" t="str">
        <f t="shared" si="26"/>
        <v>дек</v>
      </c>
      <c r="D175">
        <f t="shared" si="27"/>
        <v>2022</v>
      </c>
      <c r="E175" s="3">
        <v>44917</v>
      </c>
      <c r="F175" t="str">
        <f t="shared" si="28"/>
        <v>51-я нед. 2022</v>
      </c>
      <c r="G175" t="str">
        <f t="shared" si="29"/>
        <v>дек 2022</v>
      </c>
      <c r="H175">
        <v>29</v>
      </c>
      <c r="I175">
        <f t="shared" si="30"/>
        <v>145</v>
      </c>
      <c r="J175">
        <f t="shared" si="31"/>
        <v>390</v>
      </c>
      <c r="K175" s="5">
        <f t="shared" si="32"/>
        <v>0.2</v>
      </c>
      <c r="L175" s="5">
        <f t="shared" si="33"/>
        <v>7.4358974358974358E-2</v>
      </c>
    </row>
    <row r="176" spans="1:12" x14ac:dyDescent="0.25">
      <c r="A176">
        <f t="shared" si="24"/>
        <v>51</v>
      </c>
      <c r="B176">
        <f t="shared" si="25"/>
        <v>12</v>
      </c>
      <c r="C176" t="str">
        <f t="shared" si="26"/>
        <v>дек</v>
      </c>
      <c r="D176">
        <f t="shared" si="27"/>
        <v>2022</v>
      </c>
      <c r="E176" s="3">
        <v>44918</v>
      </c>
      <c r="F176" t="str">
        <f t="shared" si="28"/>
        <v>51-я нед. 2022</v>
      </c>
      <c r="G176" t="str">
        <f t="shared" si="29"/>
        <v>дек 2022</v>
      </c>
      <c r="H176">
        <v>36</v>
      </c>
      <c r="I176">
        <f t="shared" si="30"/>
        <v>145</v>
      </c>
      <c r="J176">
        <f t="shared" si="31"/>
        <v>390</v>
      </c>
      <c r="K176" s="5">
        <f t="shared" si="32"/>
        <v>0.24827586206896551</v>
      </c>
      <c r="L176" s="5">
        <f t="shared" si="33"/>
        <v>9.2307692307692313E-2</v>
      </c>
    </row>
    <row r="177" spans="1:12" x14ac:dyDescent="0.25">
      <c r="A177">
        <f t="shared" si="24"/>
        <v>51</v>
      </c>
      <c r="B177">
        <f t="shared" si="25"/>
        <v>12</v>
      </c>
      <c r="C177" t="str">
        <f t="shared" si="26"/>
        <v>дек</v>
      </c>
      <c r="D177">
        <f t="shared" si="27"/>
        <v>2022</v>
      </c>
      <c r="E177" s="3">
        <v>44919</v>
      </c>
      <c r="F177" t="str">
        <f t="shared" si="28"/>
        <v>51-я нед. 2022</v>
      </c>
      <c r="G177" t="str">
        <f t="shared" si="29"/>
        <v>дек 2022</v>
      </c>
      <c r="H177">
        <v>24</v>
      </c>
      <c r="I177">
        <f t="shared" si="30"/>
        <v>145</v>
      </c>
      <c r="J177">
        <f t="shared" si="31"/>
        <v>390</v>
      </c>
      <c r="K177" s="5">
        <f t="shared" si="32"/>
        <v>0.16551724137931034</v>
      </c>
      <c r="L177" s="5">
        <f t="shared" si="33"/>
        <v>6.1538461538461542E-2</v>
      </c>
    </row>
    <row r="178" spans="1:12" x14ac:dyDescent="0.25">
      <c r="A178">
        <f t="shared" si="24"/>
        <v>51</v>
      </c>
      <c r="B178">
        <f t="shared" si="25"/>
        <v>12</v>
      </c>
      <c r="C178" t="str">
        <f t="shared" si="26"/>
        <v>дек</v>
      </c>
      <c r="D178">
        <f t="shared" si="27"/>
        <v>2022</v>
      </c>
      <c r="E178" s="3">
        <v>44920</v>
      </c>
      <c r="F178" t="str">
        <f t="shared" si="28"/>
        <v>51-я нед. 2022</v>
      </c>
      <c r="G178" t="str">
        <f t="shared" si="29"/>
        <v>дек 2022</v>
      </c>
      <c r="H178">
        <v>33</v>
      </c>
      <c r="I178">
        <f t="shared" si="30"/>
        <v>145</v>
      </c>
      <c r="J178">
        <f t="shared" si="31"/>
        <v>390</v>
      </c>
      <c r="K178" s="5">
        <f t="shared" si="32"/>
        <v>0.22758620689655173</v>
      </c>
      <c r="L178" s="5">
        <f t="shared" si="33"/>
        <v>8.461538461538462E-2</v>
      </c>
    </row>
    <row r="179" spans="1:12" x14ac:dyDescent="0.25">
      <c r="A179">
        <f t="shared" si="24"/>
        <v>52</v>
      </c>
      <c r="B179">
        <f t="shared" si="25"/>
        <v>12</v>
      </c>
      <c r="C179" t="str">
        <f t="shared" si="26"/>
        <v>дек</v>
      </c>
      <c r="D179">
        <f t="shared" si="27"/>
        <v>2022</v>
      </c>
      <c r="E179" s="3">
        <v>44921</v>
      </c>
      <c r="F179" t="str">
        <f t="shared" si="28"/>
        <v>52-я нед. 2022</v>
      </c>
      <c r="G179" t="str">
        <f t="shared" si="29"/>
        <v>дек 2022</v>
      </c>
      <c r="H179">
        <v>26</v>
      </c>
      <c r="I179">
        <f t="shared" si="30"/>
        <v>141</v>
      </c>
      <c r="J179">
        <f t="shared" si="31"/>
        <v>390</v>
      </c>
      <c r="K179" s="5">
        <f t="shared" si="32"/>
        <v>0.18439716312056736</v>
      </c>
      <c r="L179" s="5">
        <f t="shared" si="33"/>
        <v>6.6666666666666666E-2</v>
      </c>
    </row>
    <row r="180" spans="1:12" x14ac:dyDescent="0.25">
      <c r="A180">
        <f t="shared" si="24"/>
        <v>52</v>
      </c>
      <c r="B180">
        <f t="shared" si="25"/>
        <v>12</v>
      </c>
      <c r="C180" t="str">
        <f t="shared" si="26"/>
        <v>дек</v>
      </c>
      <c r="D180">
        <f t="shared" si="27"/>
        <v>2022</v>
      </c>
      <c r="E180" s="3">
        <v>44922</v>
      </c>
      <c r="F180" t="str">
        <f t="shared" si="28"/>
        <v>52-я нед. 2022</v>
      </c>
      <c r="G180" t="str">
        <f t="shared" si="29"/>
        <v>дек 2022</v>
      </c>
      <c r="H180">
        <v>24</v>
      </c>
      <c r="I180">
        <f t="shared" si="30"/>
        <v>141</v>
      </c>
      <c r="J180">
        <f t="shared" si="31"/>
        <v>390</v>
      </c>
      <c r="K180" s="5">
        <f t="shared" si="32"/>
        <v>0.1702127659574468</v>
      </c>
      <c r="L180" s="5">
        <f t="shared" si="33"/>
        <v>6.1538461538461542E-2</v>
      </c>
    </row>
    <row r="181" spans="1:12" x14ac:dyDescent="0.25">
      <c r="A181">
        <f t="shared" si="24"/>
        <v>52</v>
      </c>
      <c r="B181">
        <f t="shared" si="25"/>
        <v>12</v>
      </c>
      <c r="C181" t="str">
        <f t="shared" si="26"/>
        <v>дек</v>
      </c>
      <c r="D181">
        <f t="shared" si="27"/>
        <v>2022</v>
      </c>
      <c r="E181" s="3">
        <v>44923</v>
      </c>
      <c r="F181" t="str">
        <f t="shared" si="28"/>
        <v>52-я нед. 2022</v>
      </c>
      <c r="G181" t="str">
        <f t="shared" si="29"/>
        <v>дек 2022</v>
      </c>
      <c r="H181">
        <v>32</v>
      </c>
      <c r="I181">
        <f t="shared" si="30"/>
        <v>141</v>
      </c>
      <c r="J181">
        <f t="shared" si="31"/>
        <v>390</v>
      </c>
      <c r="K181" s="5">
        <f t="shared" si="32"/>
        <v>0.22695035460992907</v>
      </c>
      <c r="L181" s="5">
        <f t="shared" si="33"/>
        <v>8.2051282051282051E-2</v>
      </c>
    </row>
    <row r="182" spans="1:12" x14ac:dyDescent="0.25">
      <c r="A182">
        <f t="shared" si="24"/>
        <v>52</v>
      </c>
      <c r="B182">
        <f t="shared" si="25"/>
        <v>12</v>
      </c>
      <c r="C182" t="str">
        <f t="shared" si="26"/>
        <v>дек</v>
      </c>
      <c r="D182">
        <f t="shared" si="27"/>
        <v>2022</v>
      </c>
      <c r="E182" s="3">
        <v>44924</v>
      </c>
      <c r="F182" t="str">
        <f t="shared" si="28"/>
        <v>52-я нед. 2022</v>
      </c>
      <c r="G182" t="str">
        <f t="shared" si="29"/>
        <v>дек 2022</v>
      </c>
      <c r="H182">
        <v>29</v>
      </c>
      <c r="I182">
        <f t="shared" si="30"/>
        <v>141</v>
      </c>
      <c r="J182">
        <f t="shared" si="31"/>
        <v>390</v>
      </c>
      <c r="K182" s="5">
        <f t="shared" si="32"/>
        <v>0.20567375886524822</v>
      </c>
      <c r="L182" s="5">
        <f t="shared" si="33"/>
        <v>7.4358974358974358E-2</v>
      </c>
    </row>
    <row r="183" spans="1:12" x14ac:dyDescent="0.25">
      <c r="A183">
        <f t="shared" si="24"/>
        <v>52</v>
      </c>
      <c r="B183">
        <f t="shared" si="25"/>
        <v>12</v>
      </c>
      <c r="C183" t="str">
        <f t="shared" si="26"/>
        <v>дек</v>
      </c>
      <c r="D183">
        <f t="shared" si="27"/>
        <v>2022</v>
      </c>
      <c r="E183" s="3">
        <v>44925</v>
      </c>
      <c r="F183" t="str">
        <f t="shared" si="28"/>
        <v>52-я нед. 2022</v>
      </c>
      <c r="G183" t="str">
        <f t="shared" si="29"/>
        <v>дек 2022</v>
      </c>
      <c r="H183">
        <v>22</v>
      </c>
      <c r="I183">
        <f t="shared" si="30"/>
        <v>141</v>
      </c>
      <c r="J183">
        <f t="shared" si="31"/>
        <v>390</v>
      </c>
      <c r="K183" s="5">
        <f t="shared" si="32"/>
        <v>0.15602836879432624</v>
      </c>
      <c r="L183" s="5">
        <f t="shared" si="33"/>
        <v>5.6410256410256411E-2</v>
      </c>
    </row>
    <row r="184" spans="1:12" x14ac:dyDescent="0.25">
      <c r="A184">
        <f t="shared" si="24"/>
        <v>52</v>
      </c>
      <c r="B184">
        <f t="shared" si="25"/>
        <v>12</v>
      </c>
      <c r="C184" t="str">
        <f t="shared" si="26"/>
        <v>дек</v>
      </c>
      <c r="D184">
        <f t="shared" si="27"/>
        <v>2022</v>
      </c>
      <c r="E184" s="3">
        <v>44926</v>
      </c>
      <c r="F184" t="str">
        <f t="shared" si="28"/>
        <v>52-я нед. 2022</v>
      </c>
      <c r="G184" t="str">
        <f t="shared" si="29"/>
        <v>дек 2022</v>
      </c>
      <c r="H184">
        <v>37</v>
      </c>
      <c r="I184">
        <f t="shared" si="30"/>
        <v>141</v>
      </c>
      <c r="J184">
        <f t="shared" si="31"/>
        <v>390</v>
      </c>
      <c r="K184" s="5">
        <f t="shared" si="32"/>
        <v>0.26241134751773049</v>
      </c>
      <c r="L184" s="5">
        <f t="shared" si="33"/>
        <v>9.4871794871794868E-2</v>
      </c>
    </row>
    <row r="185" spans="1:12" x14ac:dyDescent="0.25">
      <c r="A185">
        <f t="shared" si="24"/>
        <v>52</v>
      </c>
      <c r="B185">
        <f t="shared" si="25"/>
        <v>1</v>
      </c>
      <c r="C185" t="str">
        <f t="shared" si="26"/>
        <v>янв</v>
      </c>
      <c r="D185">
        <f t="shared" si="27"/>
        <v>2023</v>
      </c>
      <c r="E185" s="3">
        <v>44927</v>
      </c>
      <c r="F185" t="str">
        <f t="shared" si="28"/>
        <v>52-я нед. 2022</v>
      </c>
      <c r="G185" t="str">
        <f t="shared" si="29"/>
        <v>янв 2023</v>
      </c>
      <c r="H185">
        <v>24</v>
      </c>
      <c r="I185">
        <f t="shared" si="30"/>
        <v>141</v>
      </c>
      <c r="J185">
        <f t="shared" si="31"/>
        <v>536</v>
      </c>
      <c r="K185" s="5">
        <f t="shared" si="32"/>
        <v>0.1702127659574468</v>
      </c>
      <c r="L185" s="5">
        <f t="shared" si="33"/>
        <v>4.4776119402985072E-2</v>
      </c>
    </row>
    <row r="186" spans="1:12" x14ac:dyDescent="0.25">
      <c r="A186">
        <f t="shared" si="24"/>
        <v>1</v>
      </c>
      <c r="B186">
        <f t="shared" si="25"/>
        <v>1</v>
      </c>
      <c r="C186" t="str">
        <f t="shared" si="26"/>
        <v>янв</v>
      </c>
      <c r="D186">
        <f t="shared" si="27"/>
        <v>2023</v>
      </c>
      <c r="E186" s="3">
        <v>44928</v>
      </c>
      <c r="F186" t="str">
        <f t="shared" si="28"/>
        <v>1-я нед. 2023</v>
      </c>
      <c r="G186" t="str">
        <f t="shared" si="29"/>
        <v>янв 2023</v>
      </c>
      <c r="H186">
        <v>35</v>
      </c>
      <c r="I186">
        <f t="shared" si="30"/>
        <v>190</v>
      </c>
      <c r="J186">
        <f t="shared" si="31"/>
        <v>536</v>
      </c>
      <c r="K186" s="5">
        <f t="shared" si="32"/>
        <v>0.18421052631578946</v>
      </c>
      <c r="L186" s="5">
        <f t="shared" si="33"/>
        <v>6.5298507462686561E-2</v>
      </c>
    </row>
    <row r="187" spans="1:12" x14ac:dyDescent="0.25">
      <c r="A187">
        <f t="shared" si="24"/>
        <v>1</v>
      </c>
      <c r="B187">
        <f t="shared" si="25"/>
        <v>1</v>
      </c>
      <c r="C187" t="str">
        <f t="shared" si="26"/>
        <v>янв</v>
      </c>
      <c r="D187">
        <f t="shared" si="27"/>
        <v>2023</v>
      </c>
      <c r="E187" s="3">
        <v>44929</v>
      </c>
      <c r="F187" t="str">
        <f t="shared" si="28"/>
        <v>1-я нед. 2023</v>
      </c>
      <c r="G187" t="str">
        <f t="shared" si="29"/>
        <v>янв 2023</v>
      </c>
      <c r="H187">
        <v>40</v>
      </c>
      <c r="I187">
        <f t="shared" si="30"/>
        <v>190</v>
      </c>
      <c r="J187">
        <f t="shared" si="31"/>
        <v>536</v>
      </c>
      <c r="K187" s="5">
        <f t="shared" si="32"/>
        <v>0.21052631578947367</v>
      </c>
      <c r="L187" s="5">
        <f t="shared" si="33"/>
        <v>7.4626865671641784E-2</v>
      </c>
    </row>
    <row r="188" spans="1:12" x14ac:dyDescent="0.25">
      <c r="A188">
        <f t="shared" si="24"/>
        <v>1</v>
      </c>
      <c r="B188">
        <f t="shared" si="25"/>
        <v>1</v>
      </c>
      <c r="C188" t="str">
        <f t="shared" si="26"/>
        <v>янв</v>
      </c>
      <c r="D188">
        <f t="shared" si="27"/>
        <v>2023</v>
      </c>
      <c r="E188" s="3">
        <v>44930</v>
      </c>
      <c r="F188" t="str">
        <f t="shared" si="28"/>
        <v>1-я нед. 2023</v>
      </c>
      <c r="G188" t="str">
        <f t="shared" si="29"/>
        <v>янв 2023</v>
      </c>
      <c r="H188">
        <v>46</v>
      </c>
      <c r="I188">
        <f t="shared" si="30"/>
        <v>190</v>
      </c>
      <c r="J188">
        <f t="shared" si="31"/>
        <v>536</v>
      </c>
      <c r="K188" s="5">
        <f t="shared" si="32"/>
        <v>0.24210526315789474</v>
      </c>
      <c r="L188" s="5">
        <f t="shared" si="33"/>
        <v>8.5820895522388058E-2</v>
      </c>
    </row>
    <row r="189" spans="1:12" x14ac:dyDescent="0.25">
      <c r="A189">
        <f t="shared" si="24"/>
        <v>1</v>
      </c>
      <c r="B189">
        <f t="shared" si="25"/>
        <v>1</v>
      </c>
      <c r="C189" t="str">
        <f t="shared" si="26"/>
        <v>янв</v>
      </c>
      <c r="D189">
        <f t="shared" si="27"/>
        <v>2023</v>
      </c>
      <c r="E189" s="3">
        <v>44931</v>
      </c>
      <c r="F189" t="str">
        <f t="shared" si="28"/>
        <v>1-я нед. 2023</v>
      </c>
      <c r="G189" t="str">
        <f t="shared" si="29"/>
        <v>янв 2023</v>
      </c>
      <c r="H189">
        <v>36</v>
      </c>
      <c r="I189">
        <f t="shared" si="30"/>
        <v>190</v>
      </c>
      <c r="J189">
        <f t="shared" si="31"/>
        <v>536</v>
      </c>
      <c r="K189" s="5">
        <f t="shared" si="32"/>
        <v>0.18947368421052632</v>
      </c>
      <c r="L189" s="5">
        <f t="shared" si="33"/>
        <v>6.7164179104477612E-2</v>
      </c>
    </row>
    <row r="190" spans="1:12" x14ac:dyDescent="0.25">
      <c r="A190">
        <f t="shared" si="24"/>
        <v>1</v>
      </c>
      <c r="B190">
        <f t="shared" si="25"/>
        <v>1</v>
      </c>
      <c r="C190" t="str">
        <f t="shared" si="26"/>
        <v>янв</v>
      </c>
      <c r="D190">
        <f t="shared" si="27"/>
        <v>2023</v>
      </c>
      <c r="E190" s="3">
        <v>44932</v>
      </c>
      <c r="F190" t="str">
        <f t="shared" si="28"/>
        <v>1-я нед. 2023</v>
      </c>
      <c r="G190" t="str">
        <f t="shared" si="29"/>
        <v>янв 2023</v>
      </c>
      <c r="H190">
        <v>46</v>
      </c>
      <c r="I190">
        <f t="shared" si="30"/>
        <v>190</v>
      </c>
      <c r="J190">
        <f t="shared" si="31"/>
        <v>536</v>
      </c>
      <c r="K190" s="5">
        <f t="shared" si="32"/>
        <v>0.24210526315789474</v>
      </c>
      <c r="L190" s="5">
        <f t="shared" si="33"/>
        <v>8.5820895522388058E-2</v>
      </c>
    </row>
    <row r="191" spans="1:12" x14ac:dyDescent="0.25">
      <c r="A191">
        <f t="shared" si="24"/>
        <v>1</v>
      </c>
      <c r="B191">
        <f t="shared" si="25"/>
        <v>1</v>
      </c>
      <c r="C191" t="str">
        <f t="shared" si="26"/>
        <v>янв</v>
      </c>
      <c r="D191">
        <f t="shared" si="27"/>
        <v>2023</v>
      </c>
      <c r="E191" s="3">
        <v>44933</v>
      </c>
      <c r="F191" t="str">
        <f t="shared" si="28"/>
        <v>1-я нед. 2023</v>
      </c>
      <c r="G191" t="str">
        <f t="shared" si="29"/>
        <v>янв 2023</v>
      </c>
      <c r="H191">
        <v>35</v>
      </c>
      <c r="I191">
        <f t="shared" si="30"/>
        <v>190</v>
      </c>
      <c r="J191">
        <f t="shared" si="31"/>
        <v>536</v>
      </c>
      <c r="K191" s="5">
        <f t="shared" si="32"/>
        <v>0.18421052631578946</v>
      </c>
      <c r="L191" s="5">
        <f t="shared" si="33"/>
        <v>6.5298507462686561E-2</v>
      </c>
    </row>
    <row r="192" spans="1:12" x14ac:dyDescent="0.25">
      <c r="A192">
        <f t="shared" si="24"/>
        <v>1</v>
      </c>
      <c r="B192">
        <f t="shared" si="25"/>
        <v>1</v>
      </c>
      <c r="C192" t="str">
        <f t="shared" si="26"/>
        <v>янв</v>
      </c>
      <c r="D192">
        <f t="shared" si="27"/>
        <v>2023</v>
      </c>
      <c r="E192" s="3">
        <v>44934</v>
      </c>
      <c r="F192" t="str">
        <f t="shared" si="28"/>
        <v>1-я нед. 2023</v>
      </c>
      <c r="G192" t="str">
        <f t="shared" si="29"/>
        <v>янв 2023</v>
      </c>
      <c r="H192">
        <v>53</v>
      </c>
      <c r="I192">
        <f t="shared" si="30"/>
        <v>190</v>
      </c>
      <c r="J192">
        <f t="shared" si="31"/>
        <v>536</v>
      </c>
      <c r="K192" s="5">
        <f t="shared" si="32"/>
        <v>0.27894736842105261</v>
      </c>
      <c r="L192" s="5">
        <f t="shared" si="33"/>
        <v>9.8880597014925367E-2</v>
      </c>
    </row>
    <row r="193" spans="1:12" x14ac:dyDescent="0.25">
      <c r="A193">
        <f t="shared" si="24"/>
        <v>2</v>
      </c>
      <c r="B193">
        <f t="shared" si="25"/>
        <v>1</v>
      </c>
      <c r="C193" t="str">
        <f t="shared" si="26"/>
        <v>янв</v>
      </c>
      <c r="D193">
        <f t="shared" si="27"/>
        <v>2023</v>
      </c>
      <c r="E193" s="3">
        <v>44935</v>
      </c>
      <c r="F193" t="str">
        <f t="shared" si="28"/>
        <v>2-я нед. 2023</v>
      </c>
      <c r="G193" t="str">
        <f t="shared" si="29"/>
        <v>янв 2023</v>
      </c>
      <c r="H193">
        <v>53</v>
      </c>
      <c r="I193">
        <f t="shared" si="30"/>
        <v>233</v>
      </c>
      <c r="J193">
        <f t="shared" si="31"/>
        <v>536</v>
      </c>
      <c r="K193" s="5">
        <f t="shared" si="32"/>
        <v>0.22746781115879827</v>
      </c>
      <c r="L193" s="5">
        <f t="shared" si="33"/>
        <v>9.8880597014925367E-2</v>
      </c>
    </row>
    <row r="194" spans="1:12" x14ac:dyDescent="0.25">
      <c r="A194">
        <f t="shared" ref="A194:A257" si="34">_xlfn.ISOWEEKNUM(E194)</f>
        <v>2</v>
      </c>
      <c r="B194">
        <f t="shared" ref="B194:B257" si="35">MONTH(E194)</f>
        <v>1</v>
      </c>
      <c r="C194" t="str">
        <f t="shared" ref="C194:C257" si="36">VLOOKUP(B194,AN:AO,2,0)</f>
        <v>янв</v>
      </c>
      <c r="D194">
        <f t="shared" ref="D194:D257" si="37">YEAR(E194)</f>
        <v>2023</v>
      </c>
      <c r="E194" s="3">
        <v>44936</v>
      </c>
      <c r="F194" t="str">
        <f t="shared" ref="F194:F257" si="38">VLOOKUP(A194,AA:AC,3,0)</f>
        <v>2-я нед. 2023</v>
      </c>
      <c r="G194" t="str">
        <f t="shared" ref="G194:G257" si="39">CONCATENATE(C194," ",D194)</f>
        <v>янв 2023</v>
      </c>
      <c r="H194">
        <v>52</v>
      </c>
      <c r="I194">
        <f t="shared" ref="I194:I257" si="40">VLOOKUP(A194,AA:AD,4,0)</f>
        <v>233</v>
      </c>
      <c r="J194">
        <f t="shared" ref="J194:J257" si="41">VLOOKUP(G194,AJ:AK,2,0)</f>
        <v>536</v>
      </c>
      <c r="K194" s="5">
        <f t="shared" si="32"/>
        <v>0.22317596566523606</v>
      </c>
      <c r="L194" s="5">
        <f t="shared" si="33"/>
        <v>9.7014925373134331E-2</v>
      </c>
    </row>
    <row r="195" spans="1:12" x14ac:dyDescent="0.25">
      <c r="A195">
        <f t="shared" si="34"/>
        <v>2</v>
      </c>
      <c r="B195">
        <f t="shared" si="35"/>
        <v>1</v>
      </c>
      <c r="C195" t="str">
        <f t="shared" si="36"/>
        <v>янв</v>
      </c>
      <c r="D195">
        <f t="shared" si="37"/>
        <v>2023</v>
      </c>
      <c r="E195" s="3">
        <v>44937</v>
      </c>
      <c r="F195" t="str">
        <f t="shared" si="38"/>
        <v>2-я нед. 2023</v>
      </c>
      <c r="G195" t="str">
        <f t="shared" si="39"/>
        <v>янв 2023</v>
      </c>
      <c r="H195">
        <v>65</v>
      </c>
      <c r="I195">
        <f t="shared" si="40"/>
        <v>233</v>
      </c>
      <c r="J195">
        <f t="shared" si="41"/>
        <v>536</v>
      </c>
      <c r="K195" s="5">
        <f t="shared" ref="K195:K258" si="42">H195/I195</f>
        <v>0.27896995708154504</v>
      </c>
      <c r="L195" s="5">
        <f t="shared" ref="L195:L258" si="43">H195/J195</f>
        <v>0.12126865671641791</v>
      </c>
    </row>
    <row r="196" spans="1:12" x14ac:dyDescent="0.25">
      <c r="A196">
        <f t="shared" si="34"/>
        <v>2</v>
      </c>
      <c r="B196">
        <f t="shared" si="35"/>
        <v>1</v>
      </c>
      <c r="C196" t="str">
        <f t="shared" si="36"/>
        <v>янв</v>
      </c>
      <c r="D196">
        <f t="shared" si="37"/>
        <v>2023</v>
      </c>
      <c r="E196" s="3">
        <v>44938</v>
      </c>
      <c r="F196" t="str">
        <f t="shared" si="38"/>
        <v>2-я нед. 2023</v>
      </c>
      <c r="G196" t="str">
        <f t="shared" si="39"/>
        <v>янв 2023</v>
      </c>
      <c r="H196">
        <v>52</v>
      </c>
      <c r="I196">
        <f t="shared" si="40"/>
        <v>233</v>
      </c>
      <c r="J196">
        <f t="shared" si="41"/>
        <v>536</v>
      </c>
      <c r="K196" s="5">
        <f t="shared" si="42"/>
        <v>0.22317596566523606</v>
      </c>
      <c r="L196" s="5">
        <f t="shared" si="43"/>
        <v>9.7014925373134331E-2</v>
      </c>
    </row>
    <row r="197" spans="1:12" x14ac:dyDescent="0.25">
      <c r="A197">
        <f t="shared" si="34"/>
        <v>2</v>
      </c>
      <c r="B197">
        <f t="shared" si="35"/>
        <v>1</v>
      </c>
      <c r="C197" t="str">
        <f t="shared" si="36"/>
        <v>янв</v>
      </c>
      <c r="D197">
        <f t="shared" si="37"/>
        <v>2023</v>
      </c>
      <c r="E197" s="3">
        <v>44939</v>
      </c>
      <c r="F197" t="str">
        <f t="shared" si="38"/>
        <v>2-я нед. 2023</v>
      </c>
      <c r="G197" t="str">
        <f t="shared" si="39"/>
        <v>янв 2023</v>
      </c>
      <c r="H197">
        <v>62</v>
      </c>
      <c r="I197">
        <f t="shared" si="40"/>
        <v>233</v>
      </c>
      <c r="J197">
        <f t="shared" si="41"/>
        <v>536</v>
      </c>
      <c r="K197" s="5">
        <f t="shared" si="42"/>
        <v>0.26609442060085836</v>
      </c>
      <c r="L197" s="5">
        <f t="shared" si="43"/>
        <v>0.11567164179104478</v>
      </c>
    </row>
    <row r="198" spans="1:12" x14ac:dyDescent="0.25">
      <c r="A198">
        <f t="shared" si="34"/>
        <v>2</v>
      </c>
      <c r="B198">
        <f t="shared" si="35"/>
        <v>1</v>
      </c>
      <c r="C198" t="str">
        <f t="shared" si="36"/>
        <v>янв</v>
      </c>
      <c r="D198">
        <f t="shared" si="37"/>
        <v>2023</v>
      </c>
      <c r="E198" s="3">
        <v>44940</v>
      </c>
      <c r="F198" t="str">
        <f t="shared" si="38"/>
        <v>2-я нед. 2023</v>
      </c>
      <c r="G198" t="str">
        <f t="shared" si="39"/>
        <v>янв 2023</v>
      </c>
      <c r="H198">
        <v>77</v>
      </c>
      <c r="I198">
        <f t="shared" si="40"/>
        <v>233</v>
      </c>
      <c r="J198">
        <f t="shared" si="41"/>
        <v>536</v>
      </c>
      <c r="K198" s="5">
        <f t="shared" si="42"/>
        <v>0.33047210300429186</v>
      </c>
      <c r="L198" s="5">
        <f t="shared" si="43"/>
        <v>0.14365671641791045</v>
      </c>
    </row>
    <row r="199" spans="1:12" x14ac:dyDescent="0.25">
      <c r="A199">
        <f t="shared" si="34"/>
        <v>2</v>
      </c>
      <c r="B199">
        <f t="shared" si="35"/>
        <v>1</v>
      </c>
      <c r="C199" t="str">
        <f t="shared" si="36"/>
        <v>янв</v>
      </c>
      <c r="D199">
        <f t="shared" si="37"/>
        <v>2023</v>
      </c>
      <c r="E199" s="3">
        <v>44941</v>
      </c>
      <c r="F199" t="str">
        <f t="shared" si="38"/>
        <v>2-я нед. 2023</v>
      </c>
      <c r="G199" t="str">
        <f t="shared" si="39"/>
        <v>янв 2023</v>
      </c>
      <c r="H199">
        <v>61</v>
      </c>
      <c r="I199">
        <f t="shared" si="40"/>
        <v>233</v>
      </c>
      <c r="J199">
        <f t="shared" si="41"/>
        <v>536</v>
      </c>
      <c r="K199" s="5">
        <f t="shared" si="42"/>
        <v>0.26180257510729615</v>
      </c>
      <c r="L199" s="5">
        <f t="shared" si="43"/>
        <v>0.11380597014925373</v>
      </c>
    </row>
    <row r="200" spans="1:12" x14ac:dyDescent="0.25">
      <c r="A200">
        <f t="shared" si="34"/>
        <v>3</v>
      </c>
      <c r="B200">
        <f t="shared" si="35"/>
        <v>1</v>
      </c>
      <c r="C200" t="str">
        <f t="shared" si="36"/>
        <v>янв</v>
      </c>
      <c r="D200">
        <f t="shared" si="37"/>
        <v>2023</v>
      </c>
      <c r="E200" s="3">
        <v>44942</v>
      </c>
      <c r="F200" t="str">
        <f t="shared" si="38"/>
        <v>3-я нед. 2023</v>
      </c>
      <c r="G200" t="str">
        <f t="shared" si="39"/>
        <v>янв 2023</v>
      </c>
      <c r="H200">
        <v>70</v>
      </c>
      <c r="I200">
        <f t="shared" si="40"/>
        <v>272</v>
      </c>
      <c r="J200">
        <f t="shared" si="41"/>
        <v>536</v>
      </c>
      <c r="K200" s="5">
        <f t="shared" si="42"/>
        <v>0.25735294117647056</v>
      </c>
      <c r="L200" s="5">
        <f t="shared" si="43"/>
        <v>0.13059701492537312</v>
      </c>
    </row>
    <row r="201" spans="1:12" x14ac:dyDescent="0.25">
      <c r="A201">
        <f t="shared" si="34"/>
        <v>3</v>
      </c>
      <c r="B201">
        <f t="shared" si="35"/>
        <v>1</v>
      </c>
      <c r="C201" t="str">
        <f t="shared" si="36"/>
        <v>янв</v>
      </c>
      <c r="D201">
        <f t="shared" si="37"/>
        <v>2023</v>
      </c>
      <c r="E201" s="3">
        <v>44943</v>
      </c>
      <c r="F201" t="str">
        <f t="shared" si="38"/>
        <v>3-я нед. 2023</v>
      </c>
      <c r="G201" t="str">
        <f t="shared" si="39"/>
        <v>янв 2023</v>
      </c>
      <c r="H201">
        <v>66</v>
      </c>
      <c r="I201">
        <f t="shared" si="40"/>
        <v>272</v>
      </c>
      <c r="J201">
        <f t="shared" si="41"/>
        <v>536</v>
      </c>
      <c r="K201" s="5">
        <f t="shared" si="42"/>
        <v>0.24264705882352941</v>
      </c>
      <c r="L201" s="5">
        <f t="shared" si="43"/>
        <v>0.12313432835820895</v>
      </c>
    </row>
    <row r="202" spans="1:12" x14ac:dyDescent="0.25">
      <c r="A202">
        <f t="shared" si="34"/>
        <v>3</v>
      </c>
      <c r="B202">
        <f t="shared" si="35"/>
        <v>1</v>
      </c>
      <c r="C202" t="str">
        <f t="shared" si="36"/>
        <v>янв</v>
      </c>
      <c r="D202">
        <f t="shared" si="37"/>
        <v>2023</v>
      </c>
      <c r="E202" s="3">
        <v>44944</v>
      </c>
      <c r="F202" t="str">
        <f t="shared" si="38"/>
        <v>3-я нед. 2023</v>
      </c>
      <c r="G202" t="str">
        <f t="shared" si="39"/>
        <v>янв 2023</v>
      </c>
      <c r="H202">
        <v>73</v>
      </c>
      <c r="I202">
        <f t="shared" si="40"/>
        <v>272</v>
      </c>
      <c r="J202">
        <f t="shared" si="41"/>
        <v>536</v>
      </c>
      <c r="K202" s="5">
        <f t="shared" si="42"/>
        <v>0.26838235294117646</v>
      </c>
      <c r="L202" s="5">
        <f t="shared" si="43"/>
        <v>0.13619402985074627</v>
      </c>
    </row>
    <row r="203" spans="1:12" x14ac:dyDescent="0.25">
      <c r="A203">
        <f t="shared" si="34"/>
        <v>3</v>
      </c>
      <c r="B203">
        <f t="shared" si="35"/>
        <v>1</v>
      </c>
      <c r="C203" t="str">
        <f t="shared" si="36"/>
        <v>янв</v>
      </c>
      <c r="D203">
        <f t="shared" si="37"/>
        <v>2023</v>
      </c>
      <c r="E203" s="3">
        <v>44945</v>
      </c>
      <c r="F203" t="str">
        <f t="shared" si="38"/>
        <v>3-я нед. 2023</v>
      </c>
      <c r="G203" t="str">
        <f t="shared" si="39"/>
        <v>янв 2023</v>
      </c>
      <c r="H203">
        <v>73</v>
      </c>
      <c r="I203">
        <f t="shared" si="40"/>
        <v>272</v>
      </c>
      <c r="J203">
        <f t="shared" si="41"/>
        <v>536</v>
      </c>
      <c r="K203" s="5">
        <f t="shared" si="42"/>
        <v>0.26838235294117646</v>
      </c>
      <c r="L203" s="5">
        <f t="shared" si="43"/>
        <v>0.13619402985074627</v>
      </c>
    </row>
    <row r="204" spans="1:12" x14ac:dyDescent="0.25">
      <c r="A204">
        <f t="shared" si="34"/>
        <v>3</v>
      </c>
      <c r="B204">
        <f t="shared" si="35"/>
        <v>1</v>
      </c>
      <c r="C204" t="str">
        <f t="shared" si="36"/>
        <v>янв</v>
      </c>
      <c r="D204">
        <f t="shared" si="37"/>
        <v>2023</v>
      </c>
      <c r="E204" s="3">
        <v>44946</v>
      </c>
      <c r="F204" t="str">
        <f t="shared" si="38"/>
        <v>3-я нед. 2023</v>
      </c>
      <c r="G204" t="str">
        <f t="shared" si="39"/>
        <v>янв 2023</v>
      </c>
      <c r="H204">
        <v>80</v>
      </c>
      <c r="I204">
        <f t="shared" si="40"/>
        <v>272</v>
      </c>
      <c r="J204">
        <f t="shared" si="41"/>
        <v>536</v>
      </c>
      <c r="K204" s="5">
        <f t="shared" si="42"/>
        <v>0.29411764705882354</v>
      </c>
      <c r="L204" s="5">
        <f t="shared" si="43"/>
        <v>0.14925373134328357</v>
      </c>
    </row>
    <row r="205" spans="1:12" x14ac:dyDescent="0.25">
      <c r="A205">
        <f t="shared" si="34"/>
        <v>3</v>
      </c>
      <c r="B205">
        <f t="shared" si="35"/>
        <v>1</v>
      </c>
      <c r="C205" t="str">
        <f t="shared" si="36"/>
        <v>янв</v>
      </c>
      <c r="D205">
        <f t="shared" si="37"/>
        <v>2023</v>
      </c>
      <c r="E205" s="3">
        <v>44947</v>
      </c>
      <c r="F205" t="str">
        <f t="shared" si="38"/>
        <v>3-я нед. 2023</v>
      </c>
      <c r="G205" t="str">
        <f t="shared" si="39"/>
        <v>янв 2023</v>
      </c>
      <c r="H205">
        <v>75</v>
      </c>
      <c r="I205">
        <f t="shared" si="40"/>
        <v>272</v>
      </c>
      <c r="J205">
        <f t="shared" si="41"/>
        <v>536</v>
      </c>
      <c r="K205" s="5">
        <f t="shared" si="42"/>
        <v>0.27573529411764708</v>
      </c>
      <c r="L205" s="5">
        <f t="shared" si="43"/>
        <v>0.13992537313432835</v>
      </c>
    </row>
    <row r="206" spans="1:12" x14ac:dyDescent="0.25">
      <c r="A206">
        <f t="shared" si="34"/>
        <v>3</v>
      </c>
      <c r="B206">
        <f t="shared" si="35"/>
        <v>1</v>
      </c>
      <c r="C206" t="str">
        <f t="shared" si="36"/>
        <v>янв</v>
      </c>
      <c r="D206">
        <f t="shared" si="37"/>
        <v>2023</v>
      </c>
      <c r="E206" s="3">
        <v>44948</v>
      </c>
      <c r="F206" t="str">
        <f t="shared" si="38"/>
        <v>3-я нед. 2023</v>
      </c>
      <c r="G206" t="str">
        <f t="shared" si="39"/>
        <v>янв 2023</v>
      </c>
      <c r="H206">
        <v>90</v>
      </c>
      <c r="I206">
        <f t="shared" si="40"/>
        <v>272</v>
      </c>
      <c r="J206">
        <f t="shared" si="41"/>
        <v>536</v>
      </c>
      <c r="K206" s="5">
        <f t="shared" si="42"/>
        <v>0.33088235294117646</v>
      </c>
      <c r="L206" s="5">
        <f t="shared" si="43"/>
        <v>0.16791044776119404</v>
      </c>
    </row>
    <row r="207" spans="1:12" x14ac:dyDescent="0.25">
      <c r="A207">
        <f t="shared" si="34"/>
        <v>4</v>
      </c>
      <c r="B207">
        <f t="shared" si="35"/>
        <v>1</v>
      </c>
      <c r="C207" t="str">
        <f t="shared" si="36"/>
        <v>янв</v>
      </c>
      <c r="D207">
        <f t="shared" si="37"/>
        <v>2023</v>
      </c>
      <c r="E207" s="3">
        <v>44949</v>
      </c>
      <c r="F207" t="str">
        <f t="shared" si="38"/>
        <v>4-я нед. 2023</v>
      </c>
      <c r="G207" t="str">
        <f t="shared" si="39"/>
        <v>янв 2023</v>
      </c>
      <c r="H207">
        <v>78</v>
      </c>
      <c r="I207">
        <f t="shared" si="40"/>
        <v>295</v>
      </c>
      <c r="J207">
        <f t="shared" si="41"/>
        <v>536</v>
      </c>
      <c r="K207" s="5">
        <f t="shared" si="42"/>
        <v>0.26440677966101694</v>
      </c>
      <c r="L207" s="5">
        <f t="shared" si="43"/>
        <v>0.1455223880597015</v>
      </c>
    </row>
    <row r="208" spans="1:12" x14ac:dyDescent="0.25">
      <c r="A208">
        <f t="shared" si="34"/>
        <v>4</v>
      </c>
      <c r="B208">
        <f t="shared" si="35"/>
        <v>1</v>
      </c>
      <c r="C208" t="str">
        <f t="shared" si="36"/>
        <v>янв</v>
      </c>
      <c r="D208">
        <f t="shared" si="37"/>
        <v>2023</v>
      </c>
      <c r="E208" s="3">
        <v>44950</v>
      </c>
      <c r="F208" t="str">
        <f t="shared" si="38"/>
        <v>4-я нед. 2023</v>
      </c>
      <c r="G208" t="str">
        <f t="shared" si="39"/>
        <v>янв 2023</v>
      </c>
      <c r="H208">
        <v>90</v>
      </c>
      <c r="I208">
        <f t="shared" si="40"/>
        <v>295</v>
      </c>
      <c r="J208">
        <f t="shared" si="41"/>
        <v>536</v>
      </c>
      <c r="K208" s="5">
        <f t="shared" si="42"/>
        <v>0.30508474576271188</v>
      </c>
      <c r="L208" s="5">
        <f t="shared" si="43"/>
        <v>0.16791044776119404</v>
      </c>
    </row>
    <row r="209" spans="1:12" x14ac:dyDescent="0.25">
      <c r="A209">
        <f t="shared" si="34"/>
        <v>4</v>
      </c>
      <c r="B209">
        <f t="shared" si="35"/>
        <v>1</v>
      </c>
      <c r="C209" t="str">
        <f t="shared" si="36"/>
        <v>янв</v>
      </c>
      <c r="D209">
        <f t="shared" si="37"/>
        <v>2023</v>
      </c>
      <c r="E209" s="3">
        <v>44951</v>
      </c>
      <c r="F209" t="str">
        <f t="shared" si="38"/>
        <v>4-я нед. 2023</v>
      </c>
      <c r="G209" t="str">
        <f t="shared" si="39"/>
        <v>янв 2023</v>
      </c>
      <c r="H209">
        <v>88</v>
      </c>
      <c r="I209">
        <f t="shared" si="40"/>
        <v>295</v>
      </c>
      <c r="J209">
        <f t="shared" si="41"/>
        <v>536</v>
      </c>
      <c r="K209" s="5">
        <f t="shared" si="42"/>
        <v>0.29830508474576273</v>
      </c>
      <c r="L209" s="5">
        <f t="shared" si="43"/>
        <v>0.16417910447761194</v>
      </c>
    </row>
    <row r="210" spans="1:12" x14ac:dyDescent="0.25">
      <c r="A210">
        <f t="shared" si="34"/>
        <v>4</v>
      </c>
      <c r="B210">
        <f t="shared" si="35"/>
        <v>1</v>
      </c>
      <c r="C210" t="str">
        <f t="shared" si="36"/>
        <v>янв</v>
      </c>
      <c r="D210">
        <f t="shared" si="37"/>
        <v>2023</v>
      </c>
      <c r="E210" s="3">
        <v>44952</v>
      </c>
      <c r="F210" t="str">
        <f t="shared" si="38"/>
        <v>4-я нед. 2023</v>
      </c>
      <c r="G210" t="str">
        <f t="shared" si="39"/>
        <v>янв 2023</v>
      </c>
      <c r="H210">
        <v>83</v>
      </c>
      <c r="I210">
        <f t="shared" si="40"/>
        <v>295</v>
      </c>
      <c r="J210">
        <f t="shared" si="41"/>
        <v>536</v>
      </c>
      <c r="K210" s="5">
        <f t="shared" si="42"/>
        <v>0.28135593220338984</v>
      </c>
      <c r="L210" s="5">
        <f t="shared" si="43"/>
        <v>0.15485074626865672</v>
      </c>
    </row>
    <row r="211" spans="1:12" x14ac:dyDescent="0.25">
      <c r="A211">
        <f t="shared" si="34"/>
        <v>4</v>
      </c>
      <c r="B211">
        <f t="shared" si="35"/>
        <v>1</v>
      </c>
      <c r="C211" t="str">
        <f t="shared" si="36"/>
        <v>янв</v>
      </c>
      <c r="D211">
        <f t="shared" si="37"/>
        <v>2023</v>
      </c>
      <c r="E211" s="3">
        <v>44953</v>
      </c>
      <c r="F211" t="str">
        <f t="shared" si="38"/>
        <v>4-я нед. 2023</v>
      </c>
      <c r="G211" t="str">
        <f t="shared" si="39"/>
        <v>янв 2023</v>
      </c>
      <c r="H211">
        <v>92</v>
      </c>
      <c r="I211">
        <f t="shared" si="40"/>
        <v>295</v>
      </c>
      <c r="J211">
        <f t="shared" si="41"/>
        <v>536</v>
      </c>
      <c r="K211" s="5">
        <f t="shared" si="42"/>
        <v>0.31186440677966104</v>
      </c>
      <c r="L211" s="5">
        <f t="shared" si="43"/>
        <v>0.17164179104477612</v>
      </c>
    </row>
    <row r="212" spans="1:12" x14ac:dyDescent="0.25">
      <c r="A212">
        <f t="shared" si="34"/>
        <v>4</v>
      </c>
      <c r="B212">
        <f t="shared" si="35"/>
        <v>1</v>
      </c>
      <c r="C212" t="str">
        <f t="shared" si="36"/>
        <v>янв</v>
      </c>
      <c r="D212">
        <f t="shared" si="37"/>
        <v>2023</v>
      </c>
      <c r="E212" s="3">
        <v>44954</v>
      </c>
      <c r="F212" t="str">
        <f t="shared" si="38"/>
        <v>4-я нед. 2023</v>
      </c>
      <c r="G212" t="str">
        <f t="shared" si="39"/>
        <v>янв 2023</v>
      </c>
      <c r="H212">
        <v>99</v>
      </c>
      <c r="I212">
        <f t="shared" si="40"/>
        <v>295</v>
      </c>
      <c r="J212">
        <f t="shared" si="41"/>
        <v>536</v>
      </c>
      <c r="K212" s="5">
        <f t="shared" si="42"/>
        <v>0.33559322033898303</v>
      </c>
      <c r="L212" s="5">
        <f t="shared" si="43"/>
        <v>0.18470149253731344</v>
      </c>
    </row>
    <row r="213" spans="1:12" x14ac:dyDescent="0.25">
      <c r="A213">
        <f t="shared" si="34"/>
        <v>4</v>
      </c>
      <c r="B213">
        <f t="shared" si="35"/>
        <v>1</v>
      </c>
      <c r="C213" t="str">
        <f t="shared" si="36"/>
        <v>янв</v>
      </c>
      <c r="D213">
        <f t="shared" si="37"/>
        <v>2023</v>
      </c>
      <c r="E213" s="3">
        <v>44955</v>
      </c>
      <c r="F213" t="str">
        <f t="shared" si="38"/>
        <v>4-я нед. 2023</v>
      </c>
      <c r="G213" t="str">
        <f t="shared" si="39"/>
        <v>янв 2023</v>
      </c>
      <c r="H213">
        <v>93</v>
      </c>
      <c r="I213">
        <f t="shared" si="40"/>
        <v>295</v>
      </c>
      <c r="J213">
        <f t="shared" si="41"/>
        <v>536</v>
      </c>
      <c r="K213" s="5">
        <f t="shared" si="42"/>
        <v>0.31525423728813562</v>
      </c>
      <c r="L213" s="5">
        <f t="shared" si="43"/>
        <v>0.17350746268656717</v>
      </c>
    </row>
    <row r="214" spans="1:12" x14ac:dyDescent="0.25">
      <c r="A214">
        <f t="shared" si="34"/>
        <v>5</v>
      </c>
      <c r="B214">
        <f t="shared" si="35"/>
        <v>1</v>
      </c>
      <c r="C214" t="str">
        <f t="shared" si="36"/>
        <v>янв</v>
      </c>
      <c r="D214">
        <f t="shared" si="37"/>
        <v>2023</v>
      </c>
      <c r="E214" s="3">
        <v>44956</v>
      </c>
      <c r="F214" t="str">
        <f t="shared" si="38"/>
        <v>5-я нед. 2023</v>
      </c>
      <c r="G214" t="str">
        <f t="shared" si="39"/>
        <v>янв 2023</v>
      </c>
      <c r="H214">
        <v>115</v>
      </c>
      <c r="I214">
        <f t="shared" si="40"/>
        <v>346</v>
      </c>
      <c r="J214">
        <f t="shared" si="41"/>
        <v>536</v>
      </c>
      <c r="K214" s="5">
        <f t="shared" si="42"/>
        <v>0.33236994219653176</v>
      </c>
      <c r="L214" s="5">
        <f t="shared" si="43"/>
        <v>0.21455223880597016</v>
      </c>
    </row>
    <row r="215" spans="1:12" x14ac:dyDescent="0.25">
      <c r="A215">
        <f t="shared" si="34"/>
        <v>5</v>
      </c>
      <c r="B215">
        <f t="shared" si="35"/>
        <v>1</v>
      </c>
      <c r="C215" t="str">
        <f t="shared" si="36"/>
        <v>янв</v>
      </c>
      <c r="D215">
        <f t="shared" si="37"/>
        <v>2023</v>
      </c>
      <c r="E215" s="3">
        <v>44957</v>
      </c>
      <c r="F215" t="str">
        <f t="shared" si="38"/>
        <v>5-я нед. 2023</v>
      </c>
      <c r="G215" t="str">
        <f t="shared" si="39"/>
        <v>янв 2023</v>
      </c>
      <c r="H215">
        <v>108</v>
      </c>
      <c r="I215">
        <f t="shared" si="40"/>
        <v>346</v>
      </c>
      <c r="J215">
        <f t="shared" si="41"/>
        <v>536</v>
      </c>
      <c r="K215" s="5">
        <f t="shared" si="42"/>
        <v>0.31213872832369943</v>
      </c>
      <c r="L215" s="5">
        <f t="shared" si="43"/>
        <v>0.20149253731343283</v>
      </c>
    </row>
    <row r="216" spans="1:12" x14ac:dyDescent="0.25">
      <c r="A216">
        <f t="shared" si="34"/>
        <v>5</v>
      </c>
      <c r="B216">
        <f t="shared" si="35"/>
        <v>2</v>
      </c>
      <c r="C216" t="str">
        <f t="shared" si="36"/>
        <v>фев</v>
      </c>
      <c r="D216">
        <f t="shared" si="37"/>
        <v>2023</v>
      </c>
      <c r="E216" s="3">
        <v>44958</v>
      </c>
      <c r="F216" t="str">
        <f t="shared" si="38"/>
        <v>5-я нед. 2023</v>
      </c>
      <c r="G216" t="str">
        <f t="shared" si="39"/>
        <v>фев 2023</v>
      </c>
      <c r="H216">
        <v>112</v>
      </c>
      <c r="I216">
        <f t="shared" si="40"/>
        <v>346</v>
      </c>
      <c r="J216">
        <f t="shared" si="41"/>
        <v>696</v>
      </c>
      <c r="K216" s="5">
        <f t="shared" si="42"/>
        <v>0.32369942196531792</v>
      </c>
      <c r="L216" s="5">
        <f t="shared" si="43"/>
        <v>0.16091954022988506</v>
      </c>
    </row>
    <row r="217" spans="1:12" x14ac:dyDescent="0.25">
      <c r="A217">
        <f t="shared" si="34"/>
        <v>5</v>
      </c>
      <c r="B217">
        <f t="shared" si="35"/>
        <v>2</v>
      </c>
      <c r="C217" t="str">
        <f t="shared" si="36"/>
        <v>фев</v>
      </c>
      <c r="D217">
        <f t="shared" si="37"/>
        <v>2023</v>
      </c>
      <c r="E217" s="3">
        <v>44959</v>
      </c>
      <c r="F217" t="str">
        <f t="shared" si="38"/>
        <v>5-я нед. 2023</v>
      </c>
      <c r="G217" t="str">
        <f t="shared" si="39"/>
        <v>фев 2023</v>
      </c>
      <c r="H217">
        <v>86</v>
      </c>
      <c r="I217">
        <f t="shared" si="40"/>
        <v>346</v>
      </c>
      <c r="J217">
        <f t="shared" si="41"/>
        <v>696</v>
      </c>
      <c r="K217" s="5">
        <f t="shared" si="42"/>
        <v>0.24855491329479767</v>
      </c>
      <c r="L217" s="5">
        <f t="shared" si="43"/>
        <v>0.1235632183908046</v>
      </c>
    </row>
    <row r="218" spans="1:12" x14ac:dyDescent="0.25">
      <c r="A218">
        <f t="shared" si="34"/>
        <v>5</v>
      </c>
      <c r="B218">
        <f t="shared" si="35"/>
        <v>2</v>
      </c>
      <c r="C218" t="str">
        <f t="shared" si="36"/>
        <v>фев</v>
      </c>
      <c r="D218">
        <f t="shared" si="37"/>
        <v>2023</v>
      </c>
      <c r="E218" s="3">
        <v>44960</v>
      </c>
      <c r="F218" t="str">
        <f t="shared" si="38"/>
        <v>5-я нед. 2023</v>
      </c>
      <c r="G218" t="str">
        <f t="shared" si="39"/>
        <v>фев 2023</v>
      </c>
      <c r="H218">
        <v>98</v>
      </c>
      <c r="I218">
        <f t="shared" si="40"/>
        <v>346</v>
      </c>
      <c r="J218">
        <f t="shared" si="41"/>
        <v>696</v>
      </c>
      <c r="K218" s="5">
        <f t="shared" si="42"/>
        <v>0.2832369942196532</v>
      </c>
      <c r="L218" s="5">
        <f t="shared" si="43"/>
        <v>0.14080459770114942</v>
      </c>
    </row>
    <row r="219" spans="1:12" x14ac:dyDescent="0.25">
      <c r="A219">
        <f t="shared" si="34"/>
        <v>5</v>
      </c>
      <c r="B219">
        <f t="shared" si="35"/>
        <v>2</v>
      </c>
      <c r="C219" t="str">
        <f t="shared" si="36"/>
        <v>фев</v>
      </c>
      <c r="D219">
        <f t="shared" si="37"/>
        <v>2023</v>
      </c>
      <c r="E219" s="3">
        <v>44961</v>
      </c>
      <c r="F219" t="str">
        <f t="shared" si="38"/>
        <v>5-я нед. 2023</v>
      </c>
      <c r="G219" t="str">
        <f t="shared" si="39"/>
        <v>фев 2023</v>
      </c>
      <c r="H219">
        <v>100</v>
      </c>
      <c r="I219">
        <f t="shared" si="40"/>
        <v>346</v>
      </c>
      <c r="J219">
        <f t="shared" si="41"/>
        <v>696</v>
      </c>
      <c r="K219" s="5">
        <f t="shared" si="42"/>
        <v>0.28901734104046245</v>
      </c>
      <c r="L219" s="5">
        <f t="shared" si="43"/>
        <v>0.14367816091954022</v>
      </c>
    </row>
    <row r="220" spans="1:12" x14ac:dyDescent="0.25">
      <c r="A220">
        <f t="shared" si="34"/>
        <v>5</v>
      </c>
      <c r="B220">
        <f t="shared" si="35"/>
        <v>2</v>
      </c>
      <c r="C220" t="str">
        <f t="shared" si="36"/>
        <v>фев</v>
      </c>
      <c r="D220">
        <f t="shared" si="37"/>
        <v>2023</v>
      </c>
      <c r="E220" s="3">
        <v>44962</v>
      </c>
      <c r="F220" t="str">
        <f t="shared" si="38"/>
        <v>5-я нед. 2023</v>
      </c>
      <c r="G220" t="str">
        <f t="shared" si="39"/>
        <v>фев 2023</v>
      </c>
      <c r="H220">
        <v>95</v>
      </c>
      <c r="I220">
        <f t="shared" si="40"/>
        <v>346</v>
      </c>
      <c r="J220">
        <f t="shared" si="41"/>
        <v>696</v>
      </c>
      <c r="K220" s="5">
        <f t="shared" si="42"/>
        <v>0.27456647398843931</v>
      </c>
      <c r="L220" s="5">
        <f t="shared" si="43"/>
        <v>0.13649425287356323</v>
      </c>
    </row>
    <row r="221" spans="1:12" x14ac:dyDescent="0.25">
      <c r="A221">
        <f t="shared" si="34"/>
        <v>6</v>
      </c>
      <c r="B221">
        <f t="shared" si="35"/>
        <v>2</v>
      </c>
      <c r="C221" t="str">
        <f t="shared" si="36"/>
        <v>фев</v>
      </c>
      <c r="D221">
        <f t="shared" si="37"/>
        <v>2023</v>
      </c>
      <c r="E221" s="3">
        <v>44963</v>
      </c>
      <c r="F221" t="str">
        <f t="shared" si="38"/>
        <v>6-я нед. 2023</v>
      </c>
      <c r="G221" t="str">
        <f t="shared" si="39"/>
        <v>фев 2023</v>
      </c>
      <c r="H221">
        <v>98</v>
      </c>
      <c r="I221">
        <f t="shared" si="40"/>
        <v>340</v>
      </c>
      <c r="J221">
        <f t="shared" si="41"/>
        <v>696</v>
      </c>
      <c r="K221" s="5">
        <f t="shared" si="42"/>
        <v>0.28823529411764703</v>
      </c>
      <c r="L221" s="5">
        <f t="shared" si="43"/>
        <v>0.14080459770114942</v>
      </c>
    </row>
    <row r="222" spans="1:12" x14ac:dyDescent="0.25">
      <c r="A222">
        <f t="shared" si="34"/>
        <v>6</v>
      </c>
      <c r="B222">
        <f t="shared" si="35"/>
        <v>2</v>
      </c>
      <c r="C222" t="str">
        <f t="shared" si="36"/>
        <v>фев</v>
      </c>
      <c r="D222">
        <f t="shared" si="37"/>
        <v>2023</v>
      </c>
      <c r="E222" s="3">
        <v>44964</v>
      </c>
      <c r="F222" t="str">
        <f t="shared" si="38"/>
        <v>6-я нед. 2023</v>
      </c>
      <c r="G222" t="str">
        <f t="shared" si="39"/>
        <v>фев 2023</v>
      </c>
      <c r="H222">
        <v>90</v>
      </c>
      <c r="I222">
        <f t="shared" si="40"/>
        <v>340</v>
      </c>
      <c r="J222">
        <f t="shared" si="41"/>
        <v>696</v>
      </c>
      <c r="K222" s="5">
        <f t="shared" si="42"/>
        <v>0.26470588235294118</v>
      </c>
      <c r="L222" s="5">
        <f t="shared" si="43"/>
        <v>0.12931034482758622</v>
      </c>
    </row>
    <row r="223" spans="1:12" x14ac:dyDescent="0.25">
      <c r="A223">
        <f t="shared" si="34"/>
        <v>6</v>
      </c>
      <c r="B223">
        <f t="shared" si="35"/>
        <v>2</v>
      </c>
      <c r="C223" t="str">
        <f t="shared" si="36"/>
        <v>фев</v>
      </c>
      <c r="D223">
        <f t="shared" si="37"/>
        <v>2023</v>
      </c>
      <c r="E223" s="3">
        <v>44965</v>
      </c>
      <c r="F223" t="str">
        <f t="shared" si="38"/>
        <v>6-я нед. 2023</v>
      </c>
      <c r="G223" t="str">
        <f t="shared" si="39"/>
        <v>фев 2023</v>
      </c>
      <c r="H223">
        <v>107</v>
      </c>
      <c r="I223">
        <f t="shared" si="40"/>
        <v>340</v>
      </c>
      <c r="J223">
        <f t="shared" si="41"/>
        <v>696</v>
      </c>
      <c r="K223" s="5">
        <f t="shared" si="42"/>
        <v>0.31470588235294117</v>
      </c>
      <c r="L223" s="5">
        <f t="shared" si="43"/>
        <v>0.15373563218390804</v>
      </c>
    </row>
    <row r="224" spans="1:12" x14ac:dyDescent="0.25">
      <c r="A224">
        <f t="shared" si="34"/>
        <v>6</v>
      </c>
      <c r="B224">
        <f t="shared" si="35"/>
        <v>2</v>
      </c>
      <c r="C224" t="str">
        <f t="shared" si="36"/>
        <v>фев</v>
      </c>
      <c r="D224">
        <f t="shared" si="37"/>
        <v>2023</v>
      </c>
      <c r="E224" s="3">
        <v>44966</v>
      </c>
      <c r="F224" t="str">
        <f t="shared" si="38"/>
        <v>6-я нед. 2023</v>
      </c>
      <c r="G224" t="str">
        <f t="shared" si="39"/>
        <v>фев 2023</v>
      </c>
      <c r="H224">
        <v>101</v>
      </c>
      <c r="I224">
        <f t="shared" si="40"/>
        <v>340</v>
      </c>
      <c r="J224">
        <f t="shared" si="41"/>
        <v>696</v>
      </c>
      <c r="K224" s="5">
        <f t="shared" si="42"/>
        <v>0.29705882352941176</v>
      </c>
      <c r="L224" s="5">
        <f t="shared" si="43"/>
        <v>0.14511494252873564</v>
      </c>
    </row>
    <row r="225" spans="1:12" x14ac:dyDescent="0.25">
      <c r="A225">
        <f t="shared" si="34"/>
        <v>6</v>
      </c>
      <c r="B225">
        <f t="shared" si="35"/>
        <v>2</v>
      </c>
      <c r="C225" t="str">
        <f t="shared" si="36"/>
        <v>фев</v>
      </c>
      <c r="D225">
        <f t="shared" si="37"/>
        <v>2023</v>
      </c>
      <c r="E225" s="3">
        <v>44967</v>
      </c>
      <c r="F225" t="str">
        <f t="shared" si="38"/>
        <v>6-я нед. 2023</v>
      </c>
      <c r="G225" t="str">
        <f t="shared" si="39"/>
        <v>фев 2023</v>
      </c>
      <c r="H225">
        <v>104</v>
      </c>
      <c r="I225">
        <f t="shared" si="40"/>
        <v>340</v>
      </c>
      <c r="J225">
        <f t="shared" si="41"/>
        <v>696</v>
      </c>
      <c r="K225" s="5">
        <f t="shared" si="42"/>
        <v>0.30588235294117649</v>
      </c>
      <c r="L225" s="5">
        <f t="shared" si="43"/>
        <v>0.14942528735632185</v>
      </c>
    </row>
    <row r="226" spans="1:12" x14ac:dyDescent="0.25">
      <c r="A226">
        <f t="shared" si="34"/>
        <v>6</v>
      </c>
      <c r="B226">
        <f t="shared" si="35"/>
        <v>2</v>
      </c>
      <c r="C226" t="str">
        <f t="shared" si="36"/>
        <v>фев</v>
      </c>
      <c r="D226">
        <f t="shared" si="37"/>
        <v>2023</v>
      </c>
      <c r="E226" s="3">
        <v>44968</v>
      </c>
      <c r="F226" t="str">
        <f t="shared" si="38"/>
        <v>6-я нед. 2023</v>
      </c>
      <c r="G226" t="str">
        <f t="shared" si="39"/>
        <v>фев 2023</v>
      </c>
      <c r="H226">
        <v>98</v>
      </c>
      <c r="I226">
        <f t="shared" si="40"/>
        <v>340</v>
      </c>
      <c r="J226">
        <f t="shared" si="41"/>
        <v>696</v>
      </c>
      <c r="K226" s="5">
        <f t="shared" si="42"/>
        <v>0.28823529411764703</v>
      </c>
      <c r="L226" s="5">
        <f t="shared" si="43"/>
        <v>0.14080459770114942</v>
      </c>
    </row>
    <row r="227" spans="1:12" x14ac:dyDescent="0.25">
      <c r="A227">
        <f t="shared" si="34"/>
        <v>6</v>
      </c>
      <c r="B227">
        <f t="shared" si="35"/>
        <v>2</v>
      </c>
      <c r="C227" t="str">
        <f t="shared" si="36"/>
        <v>фев</v>
      </c>
      <c r="D227">
        <f t="shared" si="37"/>
        <v>2023</v>
      </c>
      <c r="E227" s="3">
        <v>44969</v>
      </c>
      <c r="F227" t="str">
        <f t="shared" si="38"/>
        <v>6-я нед. 2023</v>
      </c>
      <c r="G227" t="str">
        <f t="shared" si="39"/>
        <v>фев 2023</v>
      </c>
      <c r="H227">
        <v>101</v>
      </c>
      <c r="I227">
        <f t="shared" si="40"/>
        <v>340</v>
      </c>
      <c r="J227">
        <f t="shared" si="41"/>
        <v>696</v>
      </c>
      <c r="K227" s="5">
        <f t="shared" si="42"/>
        <v>0.29705882352941176</v>
      </c>
      <c r="L227" s="5">
        <f t="shared" si="43"/>
        <v>0.14511494252873564</v>
      </c>
    </row>
    <row r="228" spans="1:12" x14ac:dyDescent="0.25">
      <c r="A228">
        <f t="shared" si="34"/>
        <v>7</v>
      </c>
      <c r="B228">
        <f t="shared" si="35"/>
        <v>2</v>
      </c>
      <c r="C228" t="str">
        <f t="shared" si="36"/>
        <v>фев</v>
      </c>
      <c r="D228">
        <f t="shared" si="37"/>
        <v>2023</v>
      </c>
      <c r="E228" s="3">
        <v>44970</v>
      </c>
      <c r="F228" t="str">
        <f t="shared" si="38"/>
        <v>7-я нед. 2023</v>
      </c>
      <c r="G228" t="str">
        <f t="shared" si="39"/>
        <v>фев 2023</v>
      </c>
      <c r="H228">
        <v>94</v>
      </c>
      <c r="I228">
        <f t="shared" si="40"/>
        <v>347</v>
      </c>
      <c r="J228">
        <f t="shared" si="41"/>
        <v>696</v>
      </c>
      <c r="K228" s="5">
        <f t="shared" si="42"/>
        <v>0.27089337175792505</v>
      </c>
      <c r="L228" s="5">
        <f t="shared" si="43"/>
        <v>0.13505747126436782</v>
      </c>
    </row>
    <row r="229" spans="1:12" x14ac:dyDescent="0.25">
      <c r="A229">
        <f t="shared" si="34"/>
        <v>7</v>
      </c>
      <c r="B229">
        <f t="shared" si="35"/>
        <v>2</v>
      </c>
      <c r="C229" t="str">
        <f t="shared" si="36"/>
        <v>фев</v>
      </c>
      <c r="D229">
        <f t="shared" si="37"/>
        <v>2023</v>
      </c>
      <c r="E229" s="3">
        <v>44971</v>
      </c>
      <c r="F229" t="str">
        <f t="shared" si="38"/>
        <v>7-я нед. 2023</v>
      </c>
      <c r="G229" t="str">
        <f t="shared" si="39"/>
        <v>фев 2023</v>
      </c>
      <c r="H229">
        <v>108</v>
      </c>
      <c r="I229">
        <f t="shared" si="40"/>
        <v>347</v>
      </c>
      <c r="J229">
        <f t="shared" si="41"/>
        <v>696</v>
      </c>
      <c r="K229" s="5">
        <f t="shared" si="42"/>
        <v>0.31123919308357351</v>
      </c>
      <c r="L229" s="5">
        <f t="shared" si="43"/>
        <v>0.15517241379310345</v>
      </c>
    </row>
    <row r="230" spans="1:12" x14ac:dyDescent="0.25">
      <c r="A230">
        <f t="shared" si="34"/>
        <v>7</v>
      </c>
      <c r="B230">
        <f t="shared" si="35"/>
        <v>2</v>
      </c>
      <c r="C230" t="str">
        <f t="shared" si="36"/>
        <v>фев</v>
      </c>
      <c r="D230">
        <f t="shared" si="37"/>
        <v>2023</v>
      </c>
      <c r="E230" s="3">
        <v>44972</v>
      </c>
      <c r="F230" t="str">
        <f t="shared" si="38"/>
        <v>7-я нед. 2023</v>
      </c>
      <c r="G230" t="str">
        <f t="shared" si="39"/>
        <v>фев 2023</v>
      </c>
      <c r="H230">
        <v>103</v>
      </c>
      <c r="I230">
        <f t="shared" si="40"/>
        <v>347</v>
      </c>
      <c r="J230">
        <f t="shared" si="41"/>
        <v>696</v>
      </c>
      <c r="K230" s="5">
        <f t="shared" si="42"/>
        <v>0.29682997118155618</v>
      </c>
      <c r="L230" s="5">
        <f t="shared" si="43"/>
        <v>0.14798850574712644</v>
      </c>
    </row>
    <row r="231" spans="1:12" x14ac:dyDescent="0.25">
      <c r="A231">
        <f t="shared" si="34"/>
        <v>7</v>
      </c>
      <c r="B231">
        <f t="shared" si="35"/>
        <v>2</v>
      </c>
      <c r="C231" t="str">
        <f t="shared" si="36"/>
        <v>фев</v>
      </c>
      <c r="D231">
        <f t="shared" si="37"/>
        <v>2023</v>
      </c>
      <c r="E231" s="3">
        <v>44973</v>
      </c>
      <c r="F231" t="str">
        <f t="shared" si="38"/>
        <v>7-я нед. 2023</v>
      </c>
      <c r="G231" t="str">
        <f t="shared" si="39"/>
        <v>фев 2023</v>
      </c>
      <c r="H231">
        <v>95</v>
      </c>
      <c r="I231">
        <f t="shared" si="40"/>
        <v>347</v>
      </c>
      <c r="J231">
        <f t="shared" si="41"/>
        <v>696</v>
      </c>
      <c r="K231" s="5">
        <f t="shared" si="42"/>
        <v>0.2737752161383285</v>
      </c>
      <c r="L231" s="5">
        <f t="shared" si="43"/>
        <v>0.13649425287356323</v>
      </c>
    </row>
    <row r="232" spans="1:12" x14ac:dyDescent="0.25">
      <c r="A232">
        <f t="shared" si="34"/>
        <v>7</v>
      </c>
      <c r="B232">
        <f t="shared" si="35"/>
        <v>2</v>
      </c>
      <c r="C232" t="str">
        <f t="shared" si="36"/>
        <v>фев</v>
      </c>
      <c r="D232">
        <f t="shared" si="37"/>
        <v>2023</v>
      </c>
      <c r="E232" s="3">
        <v>44974</v>
      </c>
      <c r="F232" t="str">
        <f t="shared" si="38"/>
        <v>7-я нед. 2023</v>
      </c>
      <c r="G232" t="str">
        <f t="shared" si="39"/>
        <v>фев 2023</v>
      </c>
      <c r="H232">
        <v>107</v>
      </c>
      <c r="I232">
        <f t="shared" si="40"/>
        <v>347</v>
      </c>
      <c r="J232">
        <f t="shared" si="41"/>
        <v>696</v>
      </c>
      <c r="K232" s="5">
        <f t="shared" si="42"/>
        <v>0.30835734870317005</v>
      </c>
      <c r="L232" s="5">
        <f t="shared" si="43"/>
        <v>0.15373563218390804</v>
      </c>
    </row>
    <row r="233" spans="1:12" x14ac:dyDescent="0.25">
      <c r="A233">
        <f t="shared" si="34"/>
        <v>7</v>
      </c>
      <c r="B233">
        <f t="shared" si="35"/>
        <v>2</v>
      </c>
      <c r="C233" t="str">
        <f t="shared" si="36"/>
        <v>фев</v>
      </c>
      <c r="D233">
        <f t="shared" si="37"/>
        <v>2023</v>
      </c>
      <c r="E233" s="3">
        <v>44975</v>
      </c>
      <c r="F233" t="str">
        <f t="shared" si="38"/>
        <v>7-я нед. 2023</v>
      </c>
      <c r="G233" t="str">
        <f t="shared" si="39"/>
        <v>фев 2023</v>
      </c>
      <c r="H233">
        <v>116</v>
      </c>
      <c r="I233">
        <f t="shared" si="40"/>
        <v>347</v>
      </c>
      <c r="J233">
        <f t="shared" si="41"/>
        <v>696</v>
      </c>
      <c r="K233" s="5">
        <f t="shared" si="42"/>
        <v>0.33429394812680113</v>
      </c>
      <c r="L233" s="5">
        <f t="shared" si="43"/>
        <v>0.16666666666666666</v>
      </c>
    </row>
    <row r="234" spans="1:12" x14ac:dyDescent="0.25">
      <c r="A234">
        <f t="shared" si="34"/>
        <v>7</v>
      </c>
      <c r="B234">
        <f t="shared" si="35"/>
        <v>2</v>
      </c>
      <c r="C234" t="str">
        <f t="shared" si="36"/>
        <v>фев</v>
      </c>
      <c r="D234">
        <f t="shared" si="37"/>
        <v>2023</v>
      </c>
      <c r="E234" s="3">
        <v>44976</v>
      </c>
      <c r="F234" t="str">
        <f t="shared" si="38"/>
        <v>7-я нед. 2023</v>
      </c>
      <c r="G234" t="str">
        <f t="shared" si="39"/>
        <v>фев 2023</v>
      </c>
      <c r="H234">
        <v>109</v>
      </c>
      <c r="I234">
        <f t="shared" si="40"/>
        <v>347</v>
      </c>
      <c r="J234">
        <f t="shared" si="41"/>
        <v>696</v>
      </c>
      <c r="K234" s="5">
        <f t="shared" si="42"/>
        <v>0.31412103746397696</v>
      </c>
      <c r="L234" s="5">
        <f t="shared" si="43"/>
        <v>0.15660919540229884</v>
      </c>
    </row>
    <row r="235" spans="1:12" x14ac:dyDescent="0.25">
      <c r="A235">
        <f t="shared" si="34"/>
        <v>8</v>
      </c>
      <c r="B235">
        <f t="shared" si="35"/>
        <v>2</v>
      </c>
      <c r="C235" t="str">
        <f t="shared" si="36"/>
        <v>фев</v>
      </c>
      <c r="D235">
        <f t="shared" si="37"/>
        <v>2023</v>
      </c>
      <c r="E235" s="3">
        <v>44977</v>
      </c>
      <c r="F235" t="str">
        <f t="shared" si="38"/>
        <v>8-я нед. 2023</v>
      </c>
      <c r="G235" t="str">
        <f t="shared" si="39"/>
        <v>фев 2023</v>
      </c>
      <c r="H235">
        <v>84</v>
      </c>
      <c r="I235">
        <f t="shared" si="40"/>
        <v>384</v>
      </c>
      <c r="J235">
        <f t="shared" si="41"/>
        <v>696</v>
      </c>
      <c r="K235" s="5">
        <f t="shared" si="42"/>
        <v>0.21875</v>
      </c>
      <c r="L235" s="5">
        <f t="shared" si="43"/>
        <v>0.1206896551724138</v>
      </c>
    </row>
    <row r="236" spans="1:12" x14ac:dyDescent="0.25">
      <c r="A236">
        <f t="shared" si="34"/>
        <v>8</v>
      </c>
      <c r="B236">
        <f t="shared" si="35"/>
        <v>2</v>
      </c>
      <c r="C236" t="str">
        <f t="shared" si="36"/>
        <v>фев</v>
      </c>
      <c r="D236">
        <f t="shared" si="37"/>
        <v>2023</v>
      </c>
      <c r="E236" s="3">
        <v>44978</v>
      </c>
      <c r="F236" t="str">
        <f t="shared" si="38"/>
        <v>8-я нед. 2023</v>
      </c>
      <c r="G236" t="str">
        <f t="shared" si="39"/>
        <v>фев 2023</v>
      </c>
      <c r="H236">
        <v>98</v>
      </c>
      <c r="I236">
        <f t="shared" si="40"/>
        <v>384</v>
      </c>
      <c r="J236">
        <f t="shared" si="41"/>
        <v>696</v>
      </c>
      <c r="K236" s="5">
        <f t="shared" si="42"/>
        <v>0.25520833333333331</v>
      </c>
      <c r="L236" s="5">
        <f t="shared" si="43"/>
        <v>0.14080459770114942</v>
      </c>
    </row>
    <row r="237" spans="1:12" x14ac:dyDescent="0.25">
      <c r="A237">
        <f t="shared" si="34"/>
        <v>8</v>
      </c>
      <c r="B237">
        <f t="shared" si="35"/>
        <v>2</v>
      </c>
      <c r="C237" t="str">
        <f t="shared" si="36"/>
        <v>фев</v>
      </c>
      <c r="D237">
        <f t="shared" si="37"/>
        <v>2023</v>
      </c>
      <c r="E237" s="3">
        <v>44979</v>
      </c>
      <c r="F237" t="str">
        <f t="shared" si="38"/>
        <v>8-я нед. 2023</v>
      </c>
      <c r="G237" t="str">
        <f t="shared" si="39"/>
        <v>фев 2023</v>
      </c>
      <c r="H237">
        <v>115</v>
      </c>
      <c r="I237">
        <f t="shared" si="40"/>
        <v>384</v>
      </c>
      <c r="J237">
        <f t="shared" si="41"/>
        <v>696</v>
      </c>
      <c r="K237" s="5">
        <f t="shared" si="42"/>
        <v>0.29947916666666669</v>
      </c>
      <c r="L237" s="5">
        <f t="shared" si="43"/>
        <v>0.16522988505747127</v>
      </c>
    </row>
    <row r="238" spans="1:12" x14ac:dyDescent="0.25">
      <c r="A238">
        <f t="shared" si="34"/>
        <v>8</v>
      </c>
      <c r="B238">
        <f t="shared" si="35"/>
        <v>2</v>
      </c>
      <c r="C238" t="str">
        <f t="shared" si="36"/>
        <v>фев</v>
      </c>
      <c r="D238">
        <f t="shared" si="37"/>
        <v>2023</v>
      </c>
      <c r="E238" s="3">
        <v>44980</v>
      </c>
      <c r="F238" t="str">
        <f t="shared" si="38"/>
        <v>8-я нед. 2023</v>
      </c>
      <c r="G238" t="str">
        <f t="shared" si="39"/>
        <v>фев 2023</v>
      </c>
      <c r="H238">
        <v>95</v>
      </c>
      <c r="I238">
        <f t="shared" si="40"/>
        <v>384</v>
      </c>
      <c r="J238">
        <f t="shared" si="41"/>
        <v>696</v>
      </c>
      <c r="K238" s="5">
        <f t="shared" si="42"/>
        <v>0.24739583333333334</v>
      </c>
      <c r="L238" s="5">
        <f t="shared" si="43"/>
        <v>0.13649425287356323</v>
      </c>
    </row>
    <row r="239" spans="1:12" x14ac:dyDescent="0.25">
      <c r="A239">
        <f t="shared" si="34"/>
        <v>8</v>
      </c>
      <c r="B239">
        <f t="shared" si="35"/>
        <v>2</v>
      </c>
      <c r="C239" t="str">
        <f t="shared" si="36"/>
        <v>фев</v>
      </c>
      <c r="D239">
        <f t="shared" si="37"/>
        <v>2023</v>
      </c>
      <c r="E239" s="3">
        <v>44981</v>
      </c>
      <c r="F239" t="str">
        <f t="shared" si="38"/>
        <v>8-я нед. 2023</v>
      </c>
      <c r="G239" t="str">
        <f t="shared" si="39"/>
        <v>фев 2023</v>
      </c>
      <c r="H239">
        <v>106</v>
      </c>
      <c r="I239">
        <f t="shared" si="40"/>
        <v>384</v>
      </c>
      <c r="J239">
        <f t="shared" si="41"/>
        <v>696</v>
      </c>
      <c r="K239" s="5">
        <f t="shared" si="42"/>
        <v>0.27604166666666669</v>
      </c>
      <c r="L239" s="5">
        <f t="shared" si="43"/>
        <v>0.15229885057471265</v>
      </c>
    </row>
    <row r="240" spans="1:12" x14ac:dyDescent="0.25">
      <c r="A240">
        <f t="shared" si="34"/>
        <v>8</v>
      </c>
      <c r="B240">
        <f t="shared" si="35"/>
        <v>2</v>
      </c>
      <c r="C240" t="str">
        <f t="shared" si="36"/>
        <v>фев</v>
      </c>
      <c r="D240">
        <f t="shared" si="37"/>
        <v>2023</v>
      </c>
      <c r="E240" s="3">
        <v>44982</v>
      </c>
      <c r="F240" t="str">
        <f t="shared" si="38"/>
        <v>8-я нед. 2023</v>
      </c>
      <c r="G240" t="str">
        <f t="shared" si="39"/>
        <v>фев 2023</v>
      </c>
      <c r="H240">
        <v>118</v>
      </c>
      <c r="I240">
        <f t="shared" si="40"/>
        <v>384</v>
      </c>
      <c r="J240">
        <f t="shared" si="41"/>
        <v>696</v>
      </c>
      <c r="K240" s="5">
        <f t="shared" si="42"/>
        <v>0.30729166666666669</v>
      </c>
      <c r="L240" s="5">
        <f t="shared" si="43"/>
        <v>0.16954022988505746</v>
      </c>
    </row>
    <row r="241" spans="1:12" x14ac:dyDescent="0.25">
      <c r="A241">
        <f t="shared" si="34"/>
        <v>8</v>
      </c>
      <c r="B241">
        <f t="shared" si="35"/>
        <v>2</v>
      </c>
      <c r="C241" t="str">
        <f t="shared" si="36"/>
        <v>фев</v>
      </c>
      <c r="D241">
        <f t="shared" si="37"/>
        <v>2023</v>
      </c>
      <c r="E241" s="3">
        <v>44983</v>
      </c>
      <c r="F241" t="str">
        <f t="shared" si="38"/>
        <v>8-я нед. 2023</v>
      </c>
      <c r="G241" t="str">
        <f t="shared" si="39"/>
        <v>фев 2023</v>
      </c>
      <c r="H241">
        <v>127</v>
      </c>
      <c r="I241">
        <f t="shared" si="40"/>
        <v>384</v>
      </c>
      <c r="J241">
        <f t="shared" si="41"/>
        <v>696</v>
      </c>
      <c r="K241" s="5">
        <f t="shared" si="42"/>
        <v>0.33072916666666669</v>
      </c>
      <c r="L241" s="5">
        <f t="shared" si="43"/>
        <v>0.18247126436781611</v>
      </c>
    </row>
    <row r="242" spans="1:12" x14ac:dyDescent="0.25">
      <c r="A242">
        <f t="shared" si="34"/>
        <v>9</v>
      </c>
      <c r="B242">
        <f t="shared" si="35"/>
        <v>2</v>
      </c>
      <c r="C242" t="str">
        <f t="shared" si="36"/>
        <v>фев</v>
      </c>
      <c r="D242">
        <f t="shared" si="37"/>
        <v>2023</v>
      </c>
      <c r="E242" s="3">
        <v>44984</v>
      </c>
      <c r="F242" t="str">
        <f t="shared" si="38"/>
        <v>9-я нед. 2023</v>
      </c>
      <c r="G242" t="str">
        <f t="shared" si="39"/>
        <v>фев 2023</v>
      </c>
      <c r="H242">
        <v>104</v>
      </c>
      <c r="I242">
        <f t="shared" si="40"/>
        <v>611</v>
      </c>
      <c r="J242">
        <f t="shared" si="41"/>
        <v>696</v>
      </c>
      <c r="K242" s="5">
        <f t="shared" si="42"/>
        <v>0.1702127659574468</v>
      </c>
      <c r="L242" s="5">
        <f t="shared" si="43"/>
        <v>0.14942528735632185</v>
      </c>
    </row>
    <row r="243" spans="1:12" x14ac:dyDescent="0.25">
      <c r="A243">
        <f t="shared" si="34"/>
        <v>9</v>
      </c>
      <c r="B243">
        <f t="shared" si="35"/>
        <v>2</v>
      </c>
      <c r="C243" t="str">
        <f t="shared" si="36"/>
        <v>фев</v>
      </c>
      <c r="D243">
        <f t="shared" si="37"/>
        <v>2023</v>
      </c>
      <c r="E243" s="3">
        <v>44985</v>
      </c>
      <c r="F243" t="str">
        <f t="shared" si="38"/>
        <v>9-я нед. 2023</v>
      </c>
      <c r="G243" t="str">
        <f t="shared" si="39"/>
        <v>фев 2023</v>
      </c>
      <c r="H243">
        <v>131</v>
      </c>
      <c r="I243">
        <f t="shared" si="40"/>
        <v>611</v>
      </c>
      <c r="J243">
        <f t="shared" si="41"/>
        <v>696</v>
      </c>
      <c r="K243" s="5">
        <f t="shared" si="42"/>
        <v>0.2144026186579378</v>
      </c>
      <c r="L243" s="5">
        <f t="shared" si="43"/>
        <v>0.18821839080459771</v>
      </c>
    </row>
    <row r="244" spans="1:12" x14ac:dyDescent="0.25">
      <c r="A244">
        <f t="shared" si="34"/>
        <v>9</v>
      </c>
      <c r="B244">
        <f t="shared" si="35"/>
        <v>3</v>
      </c>
      <c r="C244" t="str">
        <f t="shared" si="36"/>
        <v>мар</v>
      </c>
      <c r="D244">
        <f t="shared" si="37"/>
        <v>2023</v>
      </c>
      <c r="E244" s="3">
        <v>44986</v>
      </c>
      <c r="F244" t="str">
        <f t="shared" si="38"/>
        <v>9-я нед. 2023</v>
      </c>
      <c r="G244" t="str">
        <f t="shared" si="39"/>
        <v>мар 2023</v>
      </c>
      <c r="H244">
        <v>130</v>
      </c>
      <c r="I244">
        <f t="shared" si="40"/>
        <v>611</v>
      </c>
      <c r="J244">
        <f t="shared" si="41"/>
        <v>1544</v>
      </c>
      <c r="K244" s="5">
        <f t="shared" si="42"/>
        <v>0.21276595744680851</v>
      </c>
      <c r="L244" s="5">
        <f t="shared" si="43"/>
        <v>8.4196891191709838E-2</v>
      </c>
    </row>
    <row r="245" spans="1:12" x14ac:dyDescent="0.25">
      <c r="A245">
        <f t="shared" si="34"/>
        <v>9</v>
      </c>
      <c r="B245">
        <f t="shared" si="35"/>
        <v>3</v>
      </c>
      <c r="C245" t="str">
        <f t="shared" si="36"/>
        <v>мар</v>
      </c>
      <c r="D245">
        <f t="shared" si="37"/>
        <v>2023</v>
      </c>
      <c r="E245" s="3">
        <v>44987</v>
      </c>
      <c r="F245" t="str">
        <f t="shared" si="38"/>
        <v>9-я нед. 2023</v>
      </c>
      <c r="G245" t="str">
        <f t="shared" si="39"/>
        <v>мар 2023</v>
      </c>
      <c r="H245">
        <v>138</v>
      </c>
      <c r="I245">
        <f t="shared" si="40"/>
        <v>611</v>
      </c>
      <c r="J245">
        <f t="shared" si="41"/>
        <v>1544</v>
      </c>
      <c r="K245" s="5">
        <f t="shared" si="42"/>
        <v>0.22585924713584288</v>
      </c>
      <c r="L245" s="5">
        <f t="shared" si="43"/>
        <v>8.937823834196891E-2</v>
      </c>
    </row>
    <row r="246" spans="1:12" x14ac:dyDescent="0.25">
      <c r="A246">
        <f t="shared" si="34"/>
        <v>9</v>
      </c>
      <c r="B246">
        <f t="shared" si="35"/>
        <v>3</v>
      </c>
      <c r="C246" t="str">
        <f t="shared" si="36"/>
        <v>мар</v>
      </c>
      <c r="D246">
        <f t="shared" si="37"/>
        <v>2023</v>
      </c>
      <c r="E246" s="3">
        <v>44988</v>
      </c>
      <c r="F246" t="str">
        <f t="shared" si="38"/>
        <v>9-я нед. 2023</v>
      </c>
      <c r="G246" t="str">
        <f t="shared" si="39"/>
        <v>мар 2023</v>
      </c>
      <c r="H246">
        <v>167</v>
      </c>
      <c r="I246">
        <f t="shared" si="40"/>
        <v>611</v>
      </c>
      <c r="J246">
        <f t="shared" si="41"/>
        <v>1544</v>
      </c>
      <c r="K246" s="5">
        <f t="shared" si="42"/>
        <v>0.27332242225859249</v>
      </c>
      <c r="L246" s="5">
        <f t="shared" si="43"/>
        <v>0.10816062176165803</v>
      </c>
    </row>
    <row r="247" spans="1:12" x14ac:dyDescent="0.25">
      <c r="A247">
        <f t="shared" si="34"/>
        <v>9</v>
      </c>
      <c r="B247">
        <f t="shared" si="35"/>
        <v>3</v>
      </c>
      <c r="C247" t="str">
        <f t="shared" si="36"/>
        <v>мар</v>
      </c>
      <c r="D247">
        <f t="shared" si="37"/>
        <v>2023</v>
      </c>
      <c r="E247" s="3">
        <v>44989</v>
      </c>
      <c r="F247" t="str">
        <f t="shared" si="38"/>
        <v>9-я нед. 2023</v>
      </c>
      <c r="G247" t="str">
        <f t="shared" si="39"/>
        <v>мар 2023</v>
      </c>
      <c r="H247">
        <v>170</v>
      </c>
      <c r="I247">
        <f t="shared" si="40"/>
        <v>611</v>
      </c>
      <c r="J247">
        <f t="shared" si="41"/>
        <v>1544</v>
      </c>
      <c r="K247" s="5">
        <f t="shared" si="42"/>
        <v>0.27823240589198034</v>
      </c>
      <c r="L247" s="5">
        <f t="shared" si="43"/>
        <v>0.11010362694300518</v>
      </c>
    </row>
    <row r="248" spans="1:12" x14ac:dyDescent="0.25">
      <c r="A248">
        <f t="shared" si="34"/>
        <v>9</v>
      </c>
      <c r="B248">
        <f t="shared" si="35"/>
        <v>3</v>
      </c>
      <c r="C248" t="str">
        <f t="shared" si="36"/>
        <v>мар</v>
      </c>
      <c r="D248">
        <f t="shared" si="37"/>
        <v>2023</v>
      </c>
      <c r="E248" s="3">
        <v>44990</v>
      </c>
      <c r="F248" t="str">
        <f t="shared" si="38"/>
        <v>9-я нед. 2023</v>
      </c>
      <c r="G248" t="str">
        <f t="shared" si="39"/>
        <v>мар 2023</v>
      </c>
      <c r="H248">
        <v>165</v>
      </c>
      <c r="I248">
        <f t="shared" si="40"/>
        <v>611</v>
      </c>
      <c r="J248">
        <f t="shared" si="41"/>
        <v>1544</v>
      </c>
      <c r="K248" s="5">
        <f t="shared" si="42"/>
        <v>0.27004909983633391</v>
      </c>
      <c r="L248" s="5">
        <f t="shared" si="43"/>
        <v>0.10686528497409327</v>
      </c>
    </row>
    <row r="249" spans="1:12" x14ac:dyDescent="0.25">
      <c r="A249">
        <f t="shared" si="34"/>
        <v>10</v>
      </c>
      <c r="B249">
        <f t="shared" si="35"/>
        <v>3</v>
      </c>
      <c r="C249" t="str">
        <f t="shared" si="36"/>
        <v>мар</v>
      </c>
      <c r="D249">
        <f t="shared" si="37"/>
        <v>2023</v>
      </c>
      <c r="E249" s="3">
        <v>44991</v>
      </c>
      <c r="F249" t="str">
        <f t="shared" si="38"/>
        <v>10-я нед. 2023</v>
      </c>
      <c r="G249" t="str">
        <f t="shared" si="39"/>
        <v>мар 2023</v>
      </c>
      <c r="H249">
        <v>149</v>
      </c>
      <c r="I249">
        <f t="shared" si="40"/>
        <v>712</v>
      </c>
      <c r="J249">
        <f t="shared" si="41"/>
        <v>1544</v>
      </c>
      <c r="K249" s="5">
        <f t="shared" si="42"/>
        <v>0.20926966292134833</v>
      </c>
      <c r="L249" s="5">
        <f t="shared" si="43"/>
        <v>9.6502590673575125E-2</v>
      </c>
    </row>
    <row r="250" spans="1:12" x14ac:dyDescent="0.25">
      <c r="A250">
        <f t="shared" si="34"/>
        <v>10</v>
      </c>
      <c r="B250">
        <f t="shared" si="35"/>
        <v>3</v>
      </c>
      <c r="C250" t="str">
        <f t="shared" si="36"/>
        <v>мар</v>
      </c>
      <c r="D250">
        <f t="shared" si="37"/>
        <v>2023</v>
      </c>
      <c r="E250" s="3">
        <v>44992</v>
      </c>
      <c r="F250" t="str">
        <f t="shared" si="38"/>
        <v>10-я нед. 2023</v>
      </c>
      <c r="G250" t="str">
        <f t="shared" si="39"/>
        <v>мар 2023</v>
      </c>
      <c r="H250">
        <v>151</v>
      </c>
      <c r="I250">
        <f t="shared" si="40"/>
        <v>712</v>
      </c>
      <c r="J250">
        <f t="shared" si="41"/>
        <v>1544</v>
      </c>
      <c r="K250" s="5">
        <f t="shared" si="42"/>
        <v>0.21207865168539325</v>
      </c>
      <c r="L250" s="5">
        <f t="shared" si="43"/>
        <v>9.7797927461139897E-2</v>
      </c>
    </row>
    <row r="251" spans="1:12" x14ac:dyDescent="0.25">
      <c r="A251">
        <f t="shared" si="34"/>
        <v>10</v>
      </c>
      <c r="B251">
        <f t="shared" si="35"/>
        <v>3</v>
      </c>
      <c r="C251" t="str">
        <f t="shared" si="36"/>
        <v>мар</v>
      </c>
      <c r="D251">
        <f t="shared" si="37"/>
        <v>2023</v>
      </c>
      <c r="E251" s="3">
        <v>44993</v>
      </c>
      <c r="F251" t="str">
        <f t="shared" si="38"/>
        <v>10-я нед. 2023</v>
      </c>
      <c r="G251" t="str">
        <f t="shared" si="39"/>
        <v>мар 2023</v>
      </c>
      <c r="H251">
        <v>173</v>
      </c>
      <c r="I251">
        <f t="shared" si="40"/>
        <v>712</v>
      </c>
      <c r="J251">
        <f t="shared" si="41"/>
        <v>1544</v>
      </c>
      <c r="K251" s="5">
        <f t="shared" si="42"/>
        <v>0.24297752808988765</v>
      </c>
      <c r="L251" s="5">
        <f t="shared" si="43"/>
        <v>0.11204663212435233</v>
      </c>
    </row>
    <row r="252" spans="1:12" x14ac:dyDescent="0.25">
      <c r="A252">
        <f t="shared" si="34"/>
        <v>10</v>
      </c>
      <c r="B252">
        <f t="shared" si="35"/>
        <v>3</v>
      </c>
      <c r="C252" t="str">
        <f t="shared" si="36"/>
        <v>мар</v>
      </c>
      <c r="D252">
        <f t="shared" si="37"/>
        <v>2023</v>
      </c>
      <c r="E252" s="3">
        <v>44994</v>
      </c>
      <c r="F252" t="str">
        <f t="shared" si="38"/>
        <v>10-я нед. 2023</v>
      </c>
      <c r="G252" t="str">
        <f t="shared" si="39"/>
        <v>мар 2023</v>
      </c>
      <c r="H252">
        <v>150</v>
      </c>
      <c r="I252">
        <f t="shared" si="40"/>
        <v>712</v>
      </c>
      <c r="J252">
        <f t="shared" si="41"/>
        <v>1544</v>
      </c>
      <c r="K252" s="5">
        <f t="shared" si="42"/>
        <v>0.21067415730337077</v>
      </c>
      <c r="L252" s="5">
        <f t="shared" si="43"/>
        <v>9.7150259067357511E-2</v>
      </c>
    </row>
    <row r="253" spans="1:12" x14ac:dyDescent="0.25">
      <c r="A253">
        <f t="shared" si="34"/>
        <v>10</v>
      </c>
      <c r="B253">
        <f t="shared" si="35"/>
        <v>3</v>
      </c>
      <c r="C253" t="str">
        <f t="shared" si="36"/>
        <v>мар</v>
      </c>
      <c r="D253">
        <f t="shared" si="37"/>
        <v>2023</v>
      </c>
      <c r="E253" s="3">
        <v>44995</v>
      </c>
      <c r="F253" t="str">
        <f t="shared" si="38"/>
        <v>10-я нед. 2023</v>
      </c>
      <c r="G253" t="str">
        <f t="shared" si="39"/>
        <v>мар 2023</v>
      </c>
      <c r="H253">
        <v>162</v>
      </c>
      <c r="I253">
        <f t="shared" si="40"/>
        <v>712</v>
      </c>
      <c r="J253">
        <f t="shared" si="41"/>
        <v>1544</v>
      </c>
      <c r="K253" s="5">
        <f t="shared" si="42"/>
        <v>0.22752808988764045</v>
      </c>
      <c r="L253" s="5">
        <f t="shared" si="43"/>
        <v>0.10492227979274611</v>
      </c>
    </row>
    <row r="254" spans="1:12" x14ac:dyDescent="0.25">
      <c r="A254">
        <f t="shared" si="34"/>
        <v>10</v>
      </c>
      <c r="B254">
        <f t="shared" si="35"/>
        <v>3</v>
      </c>
      <c r="C254" t="str">
        <f t="shared" si="36"/>
        <v>мар</v>
      </c>
      <c r="D254">
        <f t="shared" si="37"/>
        <v>2023</v>
      </c>
      <c r="E254" s="3">
        <v>44996</v>
      </c>
      <c r="F254" t="str">
        <f t="shared" si="38"/>
        <v>10-я нед. 2023</v>
      </c>
      <c r="G254" t="str">
        <f t="shared" si="39"/>
        <v>мар 2023</v>
      </c>
      <c r="H254">
        <v>175</v>
      </c>
      <c r="I254">
        <f t="shared" si="40"/>
        <v>712</v>
      </c>
      <c r="J254">
        <f t="shared" si="41"/>
        <v>1544</v>
      </c>
      <c r="K254" s="5">
        <f t="shared" si="42"/>
        <v>0.24578651685393257</v>
      </c>
      <c r="L254" s="5">
        <f t="shared" si="43"/>
        <v>0.1133419689119171</v>
      </c>
    </row>
    <row r="255" spans="1:12" x14ac:dyDescent="0.25">
      <c r="A255">
        <f t="shared" si="34"/>
        <v>10</v>
      </c>
      <c r="B255">
        <f t="shared" si="35"/>
        <v>3</v>
      </c>
      <c r="C255" t="str">
        <f t="shared" si="36"/>
        <v>мар</v>
      </c>
      <c r="D255">
        <f t="shared" si="37"/>
        <v>2023</v>
      </c>
      <c r="E255" s="3">
        <v>44997</v>
      </c>
      <c r="F255" t="str">
        <f t="shared" si="38"/>
        <v>10-я нед. 2023</v>
      </c>
      <c r="G255" t="str">
        <f t="shared" si="39"/>
        <v>мар 2023</v>
      </c>
      <c r="H255">
        <v>176</v>
      </c>
      <c r="I255">
        <f t="shared" si="40"/>
        <v>712</v>
      </c>
      <c r="J255">
        <f t="shared" si="41"/>
        <v>1544</v>
      </c>
      <c r="K255" s="5">
        <f t="shared" si="42"/>
        <v>0.24719101123595505</v>
      </c>
      <c r="L255" s="5">
        <f t="shared" si="43"/>
        <v>0.11398963730569948</v>
      </c>
    </row>
    <row r="256" spans="1:12" x14ac:dyDescent="0.25">
      <c r="A256">
        <f t="shared" si="34"/>
        <v>11</v>
      </c>
      <c r="B256">
        <f t="shared" si="35"/>
        <v>3</v>
      </c>
      <c r="C256" t="str">
        <f t="shared" si="36"/>
        <v>мар</v>
      </c>
      <c r="D256">
        <f t="shared" si="37"/>
        <v>2023</v>
      </c>
      <c r="E256" s="3">
        <v>44998</v>
      </c>
      <c r="F256" t="str">
        <f t="shared" si="38"/>
        <v>11-я нед. 2023</v>
      </c>
      <c r="G256" t="str">
        <f t="shared" si="39"/>
        <v>мар 2023</v>
      </c>
      <c r="H256">
        <v>180</v>
      </c>
      <c r="I256">
        <f t="shared" si="40"/>
        <v>772</v>
      </c>
      <c r="J256">
        <f t="shared" si="41"/>
        <v>1544</v>
      </c>
      <c r="K256" s="5">
        <f t="shared" si="42"/>
        <v>0.23316062176165803</v>
      </c>
      <c r="L256" s="5">
        <f t="shared" si="43"/>
        <v>0.11658031088082901</v>
      </c>
    </row>
    <row r="257" spans="1:12" x14ac:dyDescent="0.25">
      <c r="A257">
        <f t="shared" si="34"/>
        <v>11</v>
      </c>
      <c r="B257">
        <f t="shared" si="35"/>
        <v>3</v>
      </c>
      <c r="C257" t="str">
        <f t="shared" si="36"/>
        <v>мар</v>
      </c>
      <c r="D257">
        <f t="shared" si="37"/>
        <v>2023</v>
      </c>
      <c r="E257" s="3">
        <v>44999</v>
      </c>
      <c r="F257" t="str">
        <f t="shared" si="38"/>
        <v>11-я нед. 2023</v>
      </c>
      <c r="G257" t="str">
        <f t="shared" si="39"/>
        <v>мар 2023</v>
      </c>
      <c r="H257">
        <v>168</v>
      </c>
      <c r="I257">
        <f t="shared" si="40"/>
        <v>772</v>
      </c>
      <c r="J257">
        <f t="shared" si="41"/>
        <v>1544</v>
      </c>
      <c r="K257" s="5">
        <f t="shared" si="42"/>
        <v>0.21761658031088082</v>
      </c>
      <c r="L257" s="5">
        <f t="shared" si="43"/>
        <v>0.10880829015544041</v>
      </c>
    </row>
    <row r="258" spans="1:12" x14ac:dyDescent="0.25">
      <c r="A258">
        <f t="shared" ref="A258:A304" si="44">_xlfn.ISOWEEKNUM(E258)</f>
        <v>11</v>
      </c>
      <c r="B258">
        <f t="shared" ref="B258:B304" si="45">MONTH(E258)</f>
        <v>3</v>
      </c>
      <c r="C258" t="str">
        <f t="shared" ref="C258:C321" si="46">VLOOKUP(B258,AN:AO,2,0)</f>
        <v>мар</v>
      </c>
      <c r="D258">
        <f t="shared" ref="D258:D321" si="47">YEAR(E258)</f>
        <v>2023</v>
      </c>
      <c r="E258" s="3">
        <v>45000</v>
      </c>
      <c r="F258" t="str">
        <f t="shared" ref="F258:F304" si="48">VLOOKUP(A258,AA:AC,3,0)</f>
        <v>11-я нед. 2023</v>
      </c>
      <c r="G258" t="str">
        <f t="shared" ref="G258:G304" si="49">CONCATENATE(C258," ",D258)</f>
        <v>мар 2023</v>
      </c>
      <c r="H258">
        <v>185</v>
      </c>
      <c r="I258">
        <f t="shared" ref="I258:I304" si="50">VLOOKUP(A258,AA:AD,4,0)</f>
        <v>772</v>
      </c>
      <c r="J258">
        <f t="shared" ref="J258:J304" si="51">VLOOKUP(G258,AJ:AK,2,0)</f>
        <v>1544</v>
      </c>
      <c r="K258" s="5">
        <f t="shared" si="42"/>
        <v>0.23963730569948186</v>
      </c>
      <c r="L258" s="5">
        <f t="shared" si="43"/>
        <v>0.11981865284974093</v>
      </c>
    </row>
    <row r="259" spans="1:12" x14ac:dyDescent="0.25">
      <c r="A259">
        <f t="shared" si="44"/>
        <v>11</v>
      </c>
      <c r="B259">
        <f t="shared" si="45"/>
        <v>3</v>
      </c>
      <c r="C259" t="str">
        <f t="shared" si="46"/>
        <v>мар</v>
      </c>
      <c r="D259">
        <f t="shared" si="47"/>
        <v>2023</v>
      </c>
      <c r="E259" s="3">
        <v>45001</v>
      </c>
      <c r="F259" t="str">
        <f t="shared" si="48"/>
        <v>11-я нед. 2023</v>
      </c>
      <c r="G259" t="str">
        <f t="shared" si="49"/>
        <v>мар 2023</v>
      </c>
      <c r="H259">
        <v>181</v>
      </c>
      <c r="I259">
        <f t="shared" si="50"/>
        <v>772</v>
      </c>
      <c r="J259">
        <f t="shared" si="51"/>
        <v>1544</v>
      </c>
      <c r="K259" s="5">
        <f t="shared" ref="K259:K304" si="52">H259/I259</f>
        <v>0.2344559585492228</v>
      </c>
      <c r="L259" s="5">
        <f t="shared" ref="L259:L304" si="53">H259/J259</f>
        <v>0.1172279792746114</v>
      </c>
    </row>
    <row r="260" spans="1:12" x14ac:dyDescent="0.25">
      <c r="A260">
        <f t="shared" si="44"/>
        <v>11</v>
      </c>
      <c r="B260">
        <f t="shared" si="45"/>
        <v>3</v>
      </c>
      <c r="C260" t="str">
        <f t="shared" si="46"/>
        <v>мар</v>
      </c>
      <c r="D260">
        <f t="shared" si="47"/>
        <v>2023</v>
      </c>
      <c r="E260" s="3">
        <v>45002</v>
      </c>
      <c r="F260" t="str">
        <f t="shared" si="48"/>
        <v>11-я нед. 2023</v>
      </c>
      <c r="G260" t="str">
        <f t="shared" si="49"/>
        <v>мар 2023</v>
      </c>
      <c r="H260">
        <v>172</v>
      </c>
      <c r="I260">
        <f t="shared" si="50"/>
        <v>772</v>
      </c>
      <c r="J260">
        <f t="shared" si="51"/>
        <v>1544</v>
      </c>
      <c r="K260" s="5">
        <f t="shared" si="52"/>
        <v>0.22279792746113988</v>
      </c>
      <c r="L260" s="5">
        <f t="shared" si="53"/>
        <v>0.11139896373056994</v>
      </c>
    </row>
    <row r="261" spans="1:12" x14ac:dyDescent="0.25">
      <c r="A261">
        <f t="shared" si="44"/>
        <v>11</v>
      </c>
      <c r="B261">
        <f t="shared" si="45"/>
        <v>3</v>
      </c>
      <c r="C261" t="str">
        <f t="shared" si="46"/>
        <v>мар</v>
      </c>
      <c r="D261">
        <f t="shared" si="47"/>
        <v>2023</v>
      </c>
      <c r="E261" s="3">
        <v>45003</v>
      </c>
      <c r="F261" t="str">
        <f t="shared" si="48"/>
        <v>11-я нед. 2023</v>
      </c>
      <c r="G261" t="str">
        <f t="shared" si="49"/>
        <v>мар 2023</v>
      </c>
      <c r="H261">
        <v>187</v>
      </c>
      <c r="I261">
        <f t="shared" si="50"/>
        <v>772</v>
      </c>
      <c r="J261">
        <f t="shared" si="51"/>
        <v>1544</v>
      </c>
      <c r="K261" s="5">
        <f t="shared" si="52"/>
        <v>0.2422279792746114</v>
      </c>
      <c r="L261" s="5">
        <f t="shared" si="53"/>
        <v>0.1211139896373057</v>
      </c>
    </row>
    <row r="262" spans="1:12" x14ac:dyDescent="0.25">
      <c r="A262">
        <f t="shared" si="44"/>
        <v>11</v>
      </c>
      <c r="B262">
        <f t="shared" si="45"/>
        <v>3</v>
      </c>
      <c r="C262" t="str">
        <f t="shared" si="46"/>
        <v>мар</v>
      </c>
      <c r="D262">
        <f t="shared" si="47"/>
        <v>2023</v>
      </c>
      <c r="E262" s="3">
        <v>45004</v>
      </c>
      <c r="F262" t="str">
        <f t="shared" si="48"/>
        <v>11-я нед. 2023</v>
      </c>
      <c r="G262" t="str">
        <f t="shared" si="49"/>
        <v>мар 2023</v>
      </c>
      <c r="H262">
        <v>218</v>
      </c>
      <c r="I262">
        <f t="shared" si="50"/>
        <v>772</v>
      </c>
      <c r="J262">
        <f t="shared" si="51"/>
        <v>1544</v>
      </c>
      <c r="K262" s="5">
        <f t="shared" si="52"/>
        <v>0.28238341968911918</v>
      </c>
      <c r="L262" s="5">
        <f t="shared" si="53"/>
        <v>0.14119170984455959</v>
      </c>
    </row>
    <row r="263" spans="1:12" x14ac:dyDescent="0.25">
      <c r="A263">
        <f t="shared" si="44"/>
        <v>12</v>
      </c>
      <c r="B263">
        <f t="shared" si="45"/>
        <v>3</v>
      </c>
      <c r="C263" t="str">
        <f t="shared" si="46"/>
        <v>мар</v>
      </c>
      <c r="D263">
        <f t="shared" si="47"/>
        <v>2023</v>
      </c>
      <c r="E263" s="3">
        <v>45005</v>
      </c>
      <c r="F263" t="str">
        <f t="shared" si="48"/>
        <v>12-я нед. 2023</v>
      </c>
      <c r="G263" t="str">
        <f t="shared" si="49"/>
        <v>мар 2023</v>
      </c>
      <c r="H263">
        <v>184</v>
      </c>
      <c r="I263">
        <f t="shared" si="50"/>
        <v>656</v>
      </c>
      <c r="J263">
        <f t="shared" si="51"/>
        <v>1544</v>
      </c>
      <c r="K263" s="5">
        <f t="shared" si="52"/>
        <v>0.28048780487804881</v>
      </c>
      <c r="L263" s="5">
        <f t="shared" si="53"/>
        <v>0.11917098445595854</v>
      </c>
    </row>
    <row r="264" spans="1:12" x14ac:dyDescent="0.25">
      <c r="A264">
        <f t="shared" si="44"/>
        <v>12</v>
      </c>
      <c r="B264">
        <f t="shared" si="45"/>
        <v>3</v>
      </c>
      <c r="C264" t="str">
        <f t="shared" si="46"/>
        <v>мар</v>
      </c>
      <c r="D264">
        <f t="shared" si="47"/>
        <v>2023</v>
      </c>
      <c r="E264" s="3">
        <v>45006</v>
      </c>
      <c r="F264" t="str">
        <f t="shared" si="48"/>
        <v>12-я нед. 2023</v>
      </c>
      <c r="G264" t="str">
        <f t="shared" si="49"/>
        <v>мар 2023</v>
      </c>
      <c r="H264">
        <v>194</v>
      </c>
      <c r="I264">
        <f t="shared" si="50"/>
        <v>656</v>
      </c>
      <c r="J264">
        <f t="shared" si="51"/>
        <v>1544</v>
      </c>
      <c r="K264" s="5">
        <f t="shared" si="52"/>
        <v>0.29573170731707316</v>
      </c>
      <c r="L264" s="5">
        <f t="shared" si="53"/>
        <v>0.12564766839378239</v>
      </c>
    </row>
    <row r="265" spans="1:12" x14ac:dyDescent="0.25">
      <c r="A265">
        <f t="shared" si="44"/>
        <v>12</v>
      </c>
      <c r="B265">
        <f t="shared" si="45"/>
        <v>3</v>
      </c>
      <c r="C265" t="str">
        <f t="shared" si="46"/>
        <v>мар</v>
      </c>
      <c r="D265">
        <f t="shared" si="47"/>
        <v>2023</v>
      </c>
      <c r="E265" s="3">
        <v>45007</v>
      </c>
      <c r="F265" t="str">
        <f t="shared" si="48"/>
        <v>12-я нед. 2023</v>
      </c>
      <c r="G265" t="str">
        <f t="shared" si="49"/>
        <v>мар 2023</v>
      </c>
      <c r="H265">
        <v>131</v>
      </c>
      <c r="I265">
        <f t="shared" si="50"/>
        <v>656</v>
      </c>
      <c r="J265">
        <f t="shared" si="51"/>
        <v>1544</v>
      </c>
      <c r="K265" s="5">
        <f t="shared" si="52"/>
        <v>0.19969512195121952</v>
      </c>
      <c r="L265" s="5">
        <f t="shared" si="53"/>
        <v>8.4844559585492224E-2</v>
      </c>
    </row>
    <row r="266" spans="1:12" x14ac:dyDescent="0.25">
      <c r="A266">
        <f t="shared" si="44"/>
        <v>12</v>
      </c>
      <c r="B266">
        <f t="shared" si="45"/>
        <v>3</v>
      </c>
      <c r="C266" t="str">
        <f t="shared" si="46"/>
        <v>мар</v>
      </c>
      <c r="D266">
        <f t="shared" si="47"/>
        <v>2023</v>
      </c>
      <c r="E266" s="3">
        <v>45008</v>
      </c>
      <c r="F266" t="str">
        <f t="shared" si="48"/>
        <v>12-я нед. 2023</v>
      </c>
      <c r="G266" t="str">
        <f t="shared" si="49"/>
        <v>мар 2023</v>
      </c>
      <c r="H266">
        <v>176</v>
      </c>
      <c r="I266">
        <f t="shared" si="50"/>
        <v>656</v>
      </c>
      <c r="J266">
        <f t="shared" si="51"/>
        <v>1544</v>
      </c>
      <c r="K266" s="5">
        <f t="shared" si="52"/>
        <v>0.26829268292682928</v>
      </c>
      <c r="L266" s="5">
        <f t="shared" si="53"/>
        <v>0.11398963730569948</v>
      </c>
    </row>
    <row r="267" spans="1:12" x14ac:dyDescent="0.25">
      <c r="A267">
        <f t="shared" si="44"/>
        <v>12</v>
      </c>
      <c r="B267">
        <f t="shared" si="45"/>
        <v>3</v>
      </c>
      <c r="C267" t="str">
        <f t="shared" si="46"/>
        <v>мар</v>
      </c>
      <c r="D267">
        <f t="shared" si="47"/>
        <v>2023</v>
      </c>
      <c r="E267" s="3">
        <v>45009</v>
      </c>
      <c r="F267" t="str">
        <f t="shared" si="48"/>
        <v>12-я нед. 2023</v>
      </c>
      <c r="G267" t="str">
        <f t="shared" si="49"/>
        <v>мар 2023</v>
      </c>
      <c r="H267">
        <v>136</v>
      </c>
      <c r="I267">
        <f t="shared" si="50"/>
        <v>656</v>
      </c>
      <c r="J267">
        <f t="shared" si="51"/>
        <v>1544</v>
      </c>
      <c r="K267" s="5">
        <f t="shared" si="52"/>
        <v>0.2073170731707317</v>
      </c>
      <c r="L267" s="5">
        <f t="shared" si="53"/>
        <v>8.8082901554404139E-2</v>
      </c>
    </row>
    <row r="268" spans="1:12" x14ac:dyDescent="0.25">
      <c r="A268">
        <f t="shared" si="44"/>
        <v>12</v>
      </c>
      <c r="B268">
        <f t="shared" si="45"/>
        <v>3</v>
      </c>
      <c r="C268" t="str">
        <f t="shared" si="46"/>
        <v>мар</v>
      </c>
      <c r="D268">
        <f t="shared" si="47"/>
        <v>2023</v>
      </c>
      <c r="E268" s="3">
        <v>45010</v>
      </c>
      <c r="F268" t="str">
        <f t="shared" si="48"/>
        <v>12-я нед. 2023</v>
      </c>
      <c r="G268" t="str">
        <f t="shared" si="49"/>
        <v>мар 2023</v>
      </c>
      <c r="H268">
        <v>153</v>
      </c>
      <c r="I268">
        <f t="shared" si="50"/>
        <v>656</v>
      </c>
      <c r="J268">
        <f t="shared" si="51"/>
        <v>1544</v>
      </c>
      <c r="K268" s="5">
        <f t="shared" si="52"/>
        <v>0.23323170731707318</v>
      </c>
      <c r="L268" s="5">
        <f t="shared" si="53"/>
        <v>9.9093264248704668E-2</v>
      </c>
    </row>
    <row r="269" spans="1:12" x14ac:dyDescent="0.25">
      <c r="A269">
        <f t="shared" si="44"/>
        <v>12</v>
      </c>
      <c r="B269">
        <f t="shared" si="45"/>
        <v>3</v>
      </c>
      <c r="C269" t="str">
        <f t="shared" si="46"/>
        <v>мар</v>
      </c>
      <c r="D269">
        <f t="shared" si="47"/>
        <v>2023</v>
      </c>
      <c r="E269" s="3">
        <v>45011</v>
      </c>
      <c r="F269" t="str">
        <f t="shared" si="48"/>
        <v>12-я нед. 2023</v>
      </c>
      <c r="G269" t="str">
        <f t="shared" si="49"/>
        <v>мар 2023</v>
      </c>
      <c r="H269">
        <v>159</v>
      </c>
      <c r="I269">
        <f t="shared" si="50"/>
        <v>656</v>
      </c>
      <c r="J269">
        <f t="shared" si="51"/>
        <v>1544</v>
      </c>
      <c r="K269" s="5">
        <f t="shared" si="52"/>
        <v>0.2423780487804878</v>
      </c>
      <c r="L269" s="5">
        <f t="shared" si="53"/>
        <v>0.10297927461139897</v>
      </c>
    </row>
    <row r="270" spans="1:12" x14ac:dyDescent="0.25">
      <c r="A270">
        <f t="shared" si="44"/>
        <v>13</v>
      </c>
      <c r="B270">
        <f t="shared" si="45"/>
        <v>3</v>
      </c>
      <c r="C270" t="str">
        <f t="shared" si="46"/>
        <v>мар</v>
      </c>
      <c r="D270">
        <f t="shared" si="47"/>
        <v>2023</v>
      </c>
      <c r="E270" s="3">
        <v>45012</v>
      </c>
      <c r="F270" t="str">
        <f t="shared" si="48"/>
        <v>13-я нед. 2023</v>
      </c>
      <c r="G270" t="str">
        <f t="shared" si="49"/>
        <v>мар 2023</v>
      </c>
      <c r="H270">
        <v>143</v>
      </c>
      <c r="I270">
        <f t="shared" si="50"/>
        <v>661</v>
      </c>
      <c r="J270">
        <f t="shared" si="51"/>
        <v>1544</v>
      </c>
      <c r="K270" s="5">
        <f t="shared" si="52"/>
        <v>0.21633888048411498</v>
      </c>
      <c r="L270" s="5">
        <f t="shared" si="53"/>
        <v>9.2616580310880825E-2</v>
      </c>
    </row>
    <row r="271" spans="1:12" x14ac:dyDescent="0.25">
      <c r="A271">
        <f t="shared" si="44"/>
        <v>13</v>
      </c>
      <c r="B271">
        <f t="shared" si="45"/>
        <v>3</v>
      </c>
      <c r="C271" t="str">
        <f t="shared" si="46"/>
        <v>мар</v>
      </c>
      <c r="D271">
        <f t="shared" si="47"/>
        <v>2023</v>
      </c>
      <c r="E271" s="3">
        <v>45013</v>
      </c>
      <c r="F271" t="str">
        <f t="shared" si="48"/>
        <v>13-я нед. 2023</v>
      </c>
      <c r="G271" t="str">
        <f t="shared" si="49"/>
        <v>мар 2023</v>
      </c>
      <c r="H271">
        <v>156</v>
      </c>
      <c r="I271">
        <f t="shared" si="50"/>
        <v>661</v>
      </c>
      <c r="J271">
        <f t="shared" si="51"/>
        <v>1544</v>
      </c>
      <c r="K271" s="5">
        <f t="shared" si="52"/>
        <v>0.23600605143721634</v>
      </c>
      <c r="L271" s="5">
        <f t="shared" si="53"/>
        <v>0.10103626943005181</v>
      </c>
    </row>
    <row r="272" spans="1:12" x14ac:dyDescent="0.25">
      <c r="A272">
        <f t="shared" si="44"/>
        <v>13</v>
      </c>
      <c r="B272">
        <f t="shared" si="45"/>
        <v>3</v>
      </c>
      <c r="C272" t="str">
        <f t="shared" si="46"/>
        <v>мар</v>
      </c>
      <c r="D272">
        <f t="shared" si="47"/>
        <v>2023</v>
      </c>
      <c r="E272" s="3">
        <v>45014</v>
      </c>
      <c r="F272" t="str">
        <f t="shared" si="48"/>
        <v>13-я нед. 2023</v>
      </c>
      <c r="G272" t="str">
        <f t="shared" si="49"/>
        <v>мар 2023</v>
      </c>
      <c r="H272">
        <v>151</v>
      </c>
      <c r="I272">
        <f t="shared" si="50"/>
        <v>661</v>
      </c>
      <c r="J272">
        <f t="shared" si="51"/>
        <v>1544</v>
      </c>
      <c r="K272" s="5">
        <f t="shared" si="52"/>
        <v>0.22844175491679275</v>
      </c>
      <c r="L272" s="5">
        <f t="shared" si="53"/>
        <v>9.7797927461139897E-2</v>
      </c>
    </row>
    <row r="273" spans="1:12" x14ac:dyDescent="0.25">
      <c r="A273">
        <f t="shared" si="44"/>
        <v>13</v>
      </c>
      <c r="B273">
        <f t="shared" si="45"/>
        <v>3</v>
      </c>
      <c r="C273" t="str">
        <f t="shared" si="46"/>
        <v>мар</v>
      </c>
      <c r="D273">
        <f t="shared" si="47"/>
        <v>2023</v>
      </c>
      <c r="E273" s="3">
        <v>45015</v>
      </c>
      <c r="F273" t="str">
        <f t="shared" si="48"/>
        <v>13-я нед. 2023</v>
      </c>
      <c r="G273" t="str">
        <f t="shared" si="49"/>
        <v>мар 2023</v>
      </c>
      <c r="H273">
        <v>148</v>
      </c>
      <c r="I273">
        <f t="shared" si="50"/>
        <v>661</v>
      </c>
      <c r="J273">
        <f t="shared" si="51"/>
        <v>1544</v>
      </c>
      <c r="K273" s="5">
        <f t="shared" si="52"/>
        <v>0.22390317700453857</v>
      </c>
      <c r="L273" s="5">
        <f t="shared" si="53"/>
        <v>9.585492227979274E-2</v>
      </c>
    </row>
    <row r="274" spans="1:12" x14ac:dyDescent="0.25">
      <c r="A274">
        <f t="shared" si="44"/>
        <v>13</v>
      </c>
      <c r="B274">
        <f t="shared" si="45"/>
        <v>3</v>
      </c>
      <c r="C274" t="str">
        <f t="shared" si="46"/>
        <v>мар</v>
      </c>
      <c r="D274">
        <f t="shared" si="47"/>
        <v>2023</v>
      </c>
      <c r="E274" s="3">
        <v>45016</v>
      </c>
      <c r="F274" t="str">
        <f t="shared" si="48"/>
        <v>13-я нед. 2023</v>
      </c>
      <c r="G274" t="str">
        <f t="shared" si="49"/>
        <v>мар 2023</v>
      </c>
      <c r="H274">
        <v>184</v>
      </c>
      <c r="I274">
        <f t="shared" si="50"/>
        <v>661</v>
      </c>
      <c r="J274">
        <f t="shared" si="51"/>
        <v>1544</v>
      </c>
      <c r="K274" s="5">
        <f t="shared" si="52"/>
        <v>0.2783661119515885</v>
      </c>
      <c r="L274" s="5">
        <f t="shared" si="53"/>
        <v>0.11917098445595854</v>
      </c>
    </row>
    <row r="275" spans="1:12" x14ac:dyDescent="0.25">
      <c r="A275">
        <f t="shared" si="44"/>
        <v>13</v>
      </c>
      <c r="B275">
        <f t="shared" si="45"/>
        <v>4</v>
      </c>
      <c r="C275" t="str">
        <f t="shared" si="46"/>
        <v>апр</v>
      </c>
      <c r="D275">
        <f t="shared" si="47"/>
        <v>2023</v>
      </c>
      <c r="E275" s="3">
        <v>45017</v>
      </c>
      <c r="F275" t="str">
        <f t="shared" si="48"/>
        <v>13-я нед. 2023</v>
      </c>
      <c r="G275" t="str">
        <f t="shared" si="49"/>
        <v>апр 2023</v>
      </c>
      <c r="H275">
        <v>204</v>
      </c>
      <c r="I275">
        <f t="shared" si="50"/>
        <v>661</v>
      </c>
      <c r="J275">
        <f t="shared" si="51"/>
        <v>1027</v>
      </c>
      <c r="K275" s="5">
        <f t="shared" si="52"/>
        <v>0.30862329803328292</v>
      </c>
      <c r="L275" s="5">
        <f t="shared" si="53"/>
        <v>0.19863680623174293</v>
      </c>
    </row>
    <row r="276" spans="1:12" x14ac:dyDescent="0.25">
      <c r="A276">
        <f t="shared" si="44"/>
        <v>13</v>
      </c>
      <c r="B276">
        <f t="shared" si="45"/>
        <v>4</v>
      </c>
      <c r="C276" t="str">
        <f t="shared" si="46"/>
        <v>апр</v>
      </c>
      <c r="D276">
        <f t="shared" si="47"/>
        <v>2023</v>
      </c>
      <c r="E276" s="3">
        <v>45018</v>
      </c>
      <c r="F276" t="str">
        <f t="shared" si="48"/>
        <v>13-я нед. 2023</v>
      </c>
      <c r="G276" t="str">
        <f t="shared" si="49"/>
        <v>апр 2023</v>
      </c>
      <c r="H276">
        <v>215</v>
      </c>
      <c r="I276">
        <f t="shared" si="50"/>
        <v>661</v>
      </c>
      <c r="J276">
        <f t="shared" si="51"/>
        <v>1027</v>
      </c>
      <c r="K276" s="5">
        <f t="shared" si="52"/>
        <v>0.32526475037821484</v>
      </c>
      <c r="L276" s="5">
        <f t="shared" si="53"/>
        <v>0.20934761441090555</v>
      </c>
    </row>
    <row r="277" spans="1:12" x14ac:dyDescent="0.25">
      <c r="A277">
        <f t="shared" si="44"/>
        <v>14</v>
      </c>
      <c r="B277">
        <f t="shared" si="45"/>
        <v>4</v>
      </c>
      <c r="C277" t="str">
        <f t="shared" si="46"/>
        <v>апр</v>
      </c>
      <c r="D277">
        <f t="shared" si="47"/>
        <v>2023</v>
      </c>
      <c r="E277" s="3">
        <v>45019</v>
      </c>
      <c r="F277" t="str">
        <f t="shared" si="48"/>
        <v>14-я нед. 2023</v>
      </c>
      <c r="G277" t="str">
        <f t="shared" si="49"/>
        <v>апр 2023</v>
      </c>
      <c r="H277">
        <v>198</v>
      </c>
      <c r="I277">
        <f t="shared" si="50"/>
        <v>699</v>
      </c>
      <c r="J277">
        <f t="shared" si="51"/>
        <v>1027</v>
      </c>
      <c r="K277" s="5">
        <f t="shared" si="52"/>
        <v>0.2832618025751073</v>
      </c>
      <c r="L277" s="5">
        <f t="shared" si="53"/>
        <v>0.19279454722492698</v>
      </c>
    </row>
    <row r="278" spans="1:12" x14ac:dyDescent="0.25">
      <c r="A278">
        <f t="shared" si="44"/>
        <v>14</v>
      </c>
      <c r="B278">
        <f t="shared" si="45"/>
        <v>4</v>
      </c>
      <c r="C278" t="str">
        <f t="shared" si="46"/>
        <v>апр</v>
      </c>
      <c r="D278">
        <f t="shared" si="47"/>
        <v>2023</v>
      </c>
      <c r="E278" s="3">
        <v>45020</v>
      </c>
      <c r="F278" t="str">
        <f t="shared" si="48"/>
        <v>14-я нед. 2023</v>
      </c>
      <c r="G278" t="str">
        <f t="shared" si="49"/>
        <v>апр 2023</v>
      </c>
      <c r="H278">
        <v>199</v>
      </c>
      <c r="I278">
        <f t="shared" si="50"/>
        <v>699</v>
      </c>
      <c r="J278">
        <f t="shared" si="51"/>
        <v>1027</v>
      </c>
      <c r="K278" s="5">
        <f t="shared" si="52"/>
        <v>0.28469241773962806</v>
      </c>
      <c r="L278" s="5">
        <f t="shared" si="53"/>
        <v>0.19376825705939629</v>
      </c>
    </row>
    <row r="279" spans="1:12" x14ac:dyDescent="0.25">
      <c r="A279">
        <f t="shared" si="44"/>
        <v>14</v>
      </c>
      <c r="B279">
        <f t="shared" si="45"/>
        <v>4</v>
      </c>
      <c r="C279" t="str">
        <f t="shared" si="46"/>
        <v>апр</v>
      </c>
      <c r="D279">
        <f t="shared" si="47"/>
        <v>2023</v>
      </c>
      <c r="E279" s="3">
        <v>45021</v>
      </c>
      <c r="F279" t="str">
        <f t="shared" si="48"/>
        <v>14-я нед. 2023</v>
      </c>
      <c r="G279" t="str">
        <f t="shared" si="49"/>
        <v>апр 2023</v>
      </c>
      <c r="H279">
        <v>188</v>
      </c>
      <c r="I279">
        <f t="shared" si="50"/>
        <v>699</v>
      </c>
      <c r="J279">
        <f t="shared" si="51"/>
        <v>1027</v>
      </c>
      <c r="K279" s="5">
        <f t="shared" si="52"/>
        <v>0.26895565092989987</v>
      </c>
      <c r="L279" s="5">
        <f t="shared" si="53"/>
        <v>0.1830574488802337</v>
      </c>
    </row>
    <row r="280" spans="1:12" x14ac:dyDescent="0.25">
      <c r="A280">
        <f t="shared" si="44"/>
        <v>14</v>
      </c>
      <c r="B280">
        <f t="shared" si="45"/>
        <v>4</v>
      </c>
      <c r="C280" t="str">
        <f t="shared" si="46"/>
        <v>апр</v>
      </c>
      <c r="D280">
        <f t="shared" si="47"/>
        <v>2023</v>
      </c>
      <c r="E280" s="3">
        <v>45022</v>
      </c>
      <c r="F280" t="str">
        <f t="shared" si="48"/>
        <v>14-я нед. 2023</v>
      </c>
      <c r="G280" t="str">
        <f t="shared" si="49"/>
        <v>апр 2023</v>
      </c>
      <c r="H280">
        <v>197</v>
      </c>
      <c r="I280">
        <f t="shared" si="50"/>
        <v>699</v>
      </c>
      <c r="J280">
        <f t="shared" si="51"/>
        <v>1027</v>
      </c>
      <c r="K280" s="5">
        <f t="shared" si="52"/>
        <v>0.28183118741058655</v>
      </c>
      <c r="L280" s="5">
        <f t="shared" si="53"/>
        <v>0.19182083739045763</v>
      </c>
    </row>
    <row r="281" spans="1:12" x14ac:dyDescent="0.25">
      <c r="A281">
        <f t="shared" si="44"/>
        <v>14</v>
      </c>
      <c r="B281">
        <f t="shared" si="45"/>
        <v>4</v>
      </c>
      <c r="C281" t="str">
        <f t="shared" si="46"/>
        <v>апр</v>
      </c>
      <c r="D281">
        <f t="shared" si="47"/>
        <v>2023</v>
      </c>
      <c r="E281" s="3">
        <v>45023</v>
      </c>
      <c r="F281" t="str">
        <f t="shared" si="48"/>
        <v>14-я нед. 2023</v>
      </c>
      <c r="G281" t="str">
        <f t="shared" si="49"/>
        <v>апр 2023</v>
      </c>
      <c r="H281">
        <v>192</v>
      </c>
      <c r="I281">
        <f t="shared" si="50"/>
        <v>699</v>
      </c>
      <c r="J281">
        <f t="shared" si="51"/>
        <v>1027</v>
      </c>
      <c r="K281" s="5">
        <f t="shared" si="52"/>
        <v>0.27467811158798283</v>
      </c>
      <c r="L281" s="5">
        <f t="shared" si="53"/>
        <v>0.186952288218111</v>
      </c>
    </row>
    <row r="282" spans="1:12" x14ac:dyDescent="0.25">
      <c r="A282">
        <f t="shared" si="44"/>
        <v>14</v>
      </c>
      <c r="B282">
        <f t="shared" si="45"/>
        <v>4</v>
      </c>
      <c r="C282" t="str">
        <f t="shared" si="46"/>
        <v>апр</v>
      </c>
      <c r="D282">
        <f t="shared" si="47"/>
        <v>2023</v>
      </c>
      <c r="E282" s="3">
        <v>45024</v>
      </c>
      <c r="F282" t="str">
        <f t="shared" si="48"/>
        <v>14-я нед. 2023</v>
      </c>
      <c r="G282" t="str">
        <f t="shared" si="49"/>
        <v>апр 2023</v>
      </c>
      <c r="H282">
        <v>200</v>
      </c>
      <c r="I282">
        <f t="shared" si="50"/>
        <v>699</v>
      </c>
      <c r="J282">
        <f t="shared" si="51"/>
        <v>1027</v>
      </c>
      <c r="K282" s="5">
        <f t="shared" si="52"/>
        <v>0.28612303290414881</v>
      </c>
      <c r="L282" s="5">
        <f t="shared" si="53"/>
        <v>0.19474196689386564</v>
      </c>
    </row>
    <row r="283" spans="1:12" x14ac:dyDescent="0.25">
      <c r="A283">
        <f t="shared" si="44"/>
        <v>14</v>
      </c>
      <c r="B283">
        <f t="shared" si="45"/>
        <v>4</v>
      </c>
      <c r="C283" t="str">
        <f t="shared" si="46"/>
        <v>апр</v>
      </c>
      <c r="D283">
        <f t="shared" si="47"/>
        <v>2023</v>
      </c>
      <c r="E283" s="3">
        <v>45025</v>
      </c>
      <c r="F283" t="str">
        <f t="shared" si="48"/>
        <v>14-я нед. 2023</v>
      </c>
      <c r="G283" t="str">
        <f t="shared" si="49"/>
        <v>апр 2023</v>
      </c>
      <c r="H283">
        <v>192</v>
      </c>
      <c r="I283">
        <f t="shared" si="50"/>
        <v>699</v>
      </c>
      <c r="J283">
        <f t="shared" si="51"/>
        <v>1027</v>
      </c>
      <c r="K283" s="5">
        <f t="shared" si="52"/>
        <v>0.27467811158798283</v>
      </c>
      <c r="L283" s="5">
        <f t="shared" si="53"/>
        <v>0.186952288218111</v>
      </c>
    </row>
    <row r="284" spans="1:12" x14ac:dyDescent="0.25">
      <c r="A284">
        <f t="shared" si="44"/>
        <v>15</v>
      </c>
      <c r="B284">
        <f t="shared" si="45"/>
        <v>4</v>
      </c>
      <c r="C284" t="str">
        <f t="shared" si="46"/>
        <v>апр</v>
      </c>
      <c r="D284">
        <f t="shared" si="47"/>
        <v>2023</v>
      </c>
      <c r="E284" s="3">
        <v>45026</v>
      </c>
      <c r="F284" t="str">
        <f t="shared" si="48"/>
        <v>15-я нед. 2023</v>
      </c>
      <c r="G284" t="str">
        <f t="shared" si="49"/>
        <v>апр 2023</v>
      </c>
      <c r="H284">
        <v>172</v>
      </c>
      <c r="I284">
        <f t="shared" si="50"/>
        <v>614</v>
      </c>
      <c r="J284">
        <f t="shared" si="51"/>
        <v>1027</v>
      </c>
      <c r="K284" s="5">
        <f t="shared" si="52"/>
        <v>0.28013029315960913</v>
      </c>
      <c r="L284" s="5">
        <f t="shared" si="53"/>
        <v>0.16747809152872445</v>
      </c>
    </row>
    <row r="285" spans="1:12" x14ac:dyDescent="0.25">
      <c r="A285">
        <f t="shared" si="44"/>
        <v>15</v>
      </c>
      <c r="B285">
        <f t="shared" si="45"/>
        <v>4</v>
      </c>
      <c r="C285" t="str">
        <f t="shared" si="46"/>
        <v>апр</v>
      </c>
      <c r="D285">
        <f t="shared" si="47"/>
        <v>2023</v>
      </c>
      <c r="E285" s="3">
        <v>45027</v>
      </c>
      <c r="F285" t="str">
        <f t="shared" si="48"/>
        <v>15-я нед. 2023</v>
      </c>
      <c r="G285" t="str">
        <f t="shared" si="49"/>
        <v>апр 2023</v>
      </c>
      <c r="H285">
        <v>160</v>
      </c>
      <c r="I285">
        <f t="shared" si="50"/>
        <v>614</v>
      </c>
      <c r="J285">
        <f t="shared" si="51"/>
        <v>1027</v>
      </c>
      <c r="K285" s="5">
        <f t="shared" si="52"/>
        <v>0.26058631921824105</v>
      </c>
      <c r="L285" s="5">
        <f t="shared" si="53"/>
        <v>0.15579357351509251</v>
      </c>
    </row>
    <row r="286" spans="1:12" x14ac:dyDescent="0.25">
      <c r="A286">
        <f t="shared" si="44"/>
        <v>15</v>
      </c>
      <c r="B286">
        <f t="shared" si="45"/>
        <v>4</v>
      </c>
      <c r="C286" t="str">
        <f t="shared" si="46"/>
        <v>апр</v>
      </c>
      <c r="D286">
        <f t="shared" si="47"/>
        <v>2023</v>
      </c>
      <c r="E286" s="3">
        <v>45028</v>
      </c>
      <c r="F286" t="str">
        <f t="shared" si="48"/>
        <v>15-я нед. 2023</v>
      </c>
      <c r="G286" t="str">
        <f t="shared" si="49"/>
        <v>апр 2023</v>
      </c>
      <c r="H286">
        <v>168</v>
      </c>
      <c r="I286">
        <f t="shared" si="50"/>
        <v>614</v>
      </c>
      <c r="J286">
        <f t="shared" si="51"/>
        <v>1027</v>
      </c>
      <c r="K286" s="5">
        <f t="shared" si="52"/>
        <v>0.2736156351791531</v>
      </c>
      <c r="L286" s="5">
        <f t="shared" si="53"/>
        <v>0.16358325219084713</v>
      </c>
    </row>
    <row r="287" spans="1:12" x14ac:dyDescent="0.25">
      <c r="A287">
        <f t="shared" si="44"/>
        <v>15</v>
      </c>
      <c r="B287">
        <f t="shared" si="45"/>
        <v>4</v>
      </c>
      <c r="C287" t="str">
        <f t="shared" si="46"/>
        <v>апр</v>
      </c>
      <c r="D287">
        <f t="shared" si="47"/>
        <v>2023</v>
      </c>
      <c r="E287" s="3">
        <v>45029</v>
      </c>
      <c r="F287" t="str">
        <f t="shared" si="48"/>
        <v>15-я нед. 2023</v>
      </c>
      <c r="G287" t="str">
        <f t="shared" si="49"/>
        <v>апр 2023</v>
      </c>
      <c r="H287">
        <v>171</v>
      </c>
      <c r="I287">
        <f t="shared" si="50"/>
        <v>614</v>
      </c>
      <c r="J287">
        <f t="shared" si="51"/>
        <v>1027</v>
      </c>
      <c r="K287" s="5">
        <f t="shared" si="52"/>
        <v>0.27850162866449513</v>
      </c>
      <c r="L287" s="5">
        <f t="shared" si="53"/>
        <v>0.1665043816942551</v>
      </c>
    </row>
    <row r="288" spans="1:12" x14ac:dyDescent="0.25">
      <c r="A288">
        <f t="shared" si="44"/>
        <v>15</v>
      </c>
      <c r="B288">
        <f t="shared" si="45"/>
        <v>4</v>
      </c>
      <c r="C288" t="str">
        <f t="shared" si="46"/>
        <v>апр</v>
      </c>
      <c r="D288">
        <f t="shared" si="47"/>
        <v>2023</v>
      </c>
      <c r="E288" s="3">
        <v>45030</v>
      </c>
      <c r="F288" t="str">
        <f t="shared" si="48"/>
        <v>15-я нед. 2023</v>
      </c>
      <c r="G288" t="str">
        <f t="shared" si="49"/>
        <v>апр 2023</v>
      </c>
      <c r="H288">
        <v>154</v>
      </c>
      <c r="I288">
        <f t="shared" si="50"/>
        <v>614</v>
      </c>
      <c r="J288">
        <f t="shared" si="51"/>
        <v>1027</v>
      </c>
      <c r="K288" s="5">
        <f t="shared" si="52"/>
        <v>0.250814332247557</v>
      </c>
      <c r="L288" s="5">
        <f t="shared" si="53"/>
        <v>0.14995131450827653</v>
      </c>
    </row>
    <row r="289" spans="1:12" x14ac:dyDescent="0.25">
      <c r="A289">
        <f t="shared" si="44"/>
        <v>15</v>
      </c>
      <c r="B289">
        <f t="shared" si="45"/>
        <v>4</v>
      </c>
      <c r="C289" t="str">
        <f t="shared" si="46"/>
        <v>апр</v>
      </c>
      <c r="D289">
        <f t="shared" si="47"/>
        <v>2023</v>
      </c>
      <c r="E289" s="3">
        <v>45031</v>
      </c>
      <c r="F289" t="str">
        <f t="shared" si="48"/>
        <v>15-я нед. 2023</v>
      </c>
      <c r="G289" t="str">
        <f t="shared" si="49"/>
        <v>апр 2023</v>
      </c>
      <c r="H289">
        <v>146</v>
      </c>
      <c r="I289">
        <f t="shared" si="50"/>
        <v>614</v>
      </c>
      <c r="J289">
        <f t="shared" si="51"/>
        <v>1027</v>
      </c>
      <c r="K289" s="5">
        <f t="shared" si="52"/>
        <v>0.23778501628664495</v>
      </c>
      <c r="L289" s="5">
        <f t="shared" si="53"/>
        <v>0.14216163583252192</v>
      </c>
    </row>
    <row r="290" spans="1:12" x14ac:dyDescent="0.25">
      <c r="A290">
        <f t="shared" si="44"/>
        <v>15</v>
      </c>
      <c r="B290">
        <f t="shared" si="45"/>
        <v>4</v>
      </c>
      <c r="C290" t="str">
        <f t="shared" si="46"/>
        <v>апр</v>
      </c>
      <c r="D290">
        <f t="shared" si="47"/>
        <v>2023</v>
      </c>
      <c r="E290" s="3">
        <v>45032</v>
      </c>
      <c r="F290" t="str">
        <f t="shared" si="48"/>
        <v>15-я нед. 2023</v>
      </c>
      <c r="G290" t="str">
        <f t="shared" si="49"/>
        <v>апр 2023</v>
      </c>
      <c r="H290">
        <v>166</v>
      </c>
      <c r="I290">
        <f t="shared" si="50"/>
        <v>614</v>
      </c>
      <c r="J290">
        <f t="shared" si="51"/>
        <v>1027</v>
      </c>
      <c r="K290" s="5">
        <f t="shared" si="52"/>
        <v>0.27035830618892509</v>
      </c>
      <c r="L290" s="5">
        <f t="shared" si="53"/>
        <v>0.16163583252190847</v>
      </c>
    </row>
    <row r="291" spans="1:12" x14ac:dyDescent="0.25">
      <c r="A291">
        <f t="shared" si="44"/>
        <v>16</v>
      </c>
      <c r="B291">
        <f t="shared" si="45"/>
        <v>4</v>
      </c>
      <c r="C291" t="str">
        <f t="shared" si="46"/>
        <v>апр</v>
      </c>
      <c r="D291">
        <f t="shared" si="47"/>
        <v>2023</v>
      </c>
      <c r="E291" s="3">
        <v>45033</v>
      </c>
      <c r="F291" t="str">
        <f t="shared" si="48"/>
        <v>16-я нед. 2023</v>
      </c>
      <c r="G291" t="str">
        <f t="shared" si="49"/>
        <v>апр 2023</v>
      </c>
      <c r="H291">
        <v>134</v>
      </c>
      <c r="I291">
        <f t="shared" si="50"/>
        <v>545</v>
      </c>
      <c r="J291">
        <f t="shared" si="51"/>
        <v>1027</v>
      </c>
      <c r="K291" s="5">
        <f t="shared" si="52"/>
        <v>0.24587155963302754</v>
      </c>
      <c r="L291" s="5">
        <f t="shared" si="53"/>
        <v>0.13047711781888996</v>
      </c>
    </row>
    <row r="292" spans="1:12" x14ac:dyDescent="0.25">
      <c r="A292">
        <f t="shared" si="44"/>
        <v>16</v>
      </c>
      <c r="B292">
        <f t="shared" si="45"/>
        <v>4</v>
      </c>
      <c r="C292" t="str">
        <f t="shared" si="46"/>
        <v>апр</v>
      </c>
      <c r="D292">
        <f t="shared" si="47"/>
        <v>2023</v>
      </c>
      <c r="E292" s="3">
        <v>45034</v>
      </c>
      <c r="F292" t="str">
        <f t="shared" si="48"/>
        <v>16-я нед. 2023</v>
      </c>
      <c r="G292" t="str">
        <f t="shared" si="49"/>
        <v>апр 2023</v>
      </c>
      <c r="H292">
        <v>149</v>
      </c>
      <c r="I292">
        <f t="shared" si="50"/>
        <v>545</v>
      </c>
      <c r="J292">
        <f t="shared" si="51"/>
        <v>1027</v>
      </c>
      <c r="K292" s="5">
        <f t="shared" si="52"/>
        <v>0.27339449541284405</v>
      </c>
      <c r="L292" s="5">
        <f t="shared" si="53"/>
        <v>0.1450827653359299</v>
      </c>
    </row>
    <row r="293" spans="1:12" x14ac:dyDescent="0.25">
      <c r="A293">
        <f t="shared" si="44"/>
        <v>16</v>
      </c>
      <c r="B293">
        <f t="shared" si="45"/>
        <v>4</v>
      </c>
      <c r="C293" t="str">
        <f t="shared" si="46"/>
        <v>апр</v>
      </c>
      <c r="D293">
        <f t="shared" si="47"/>
        <v>2023</v>
      </c>
      <c r="E293" s="3">
        <v>45035</v>
      </c>
      <c r="F293" t="str">
        <f t="shared" si="48"/>
        <v>16-я нед. 2023</v>
      </c>
      <c r="G293" t="str">
        <f t="shared" si="49"/>
        <v>апр 2023</v>
      </c>
      <c r="H293">
        <v>132</v>
      </c>
      <c r="I293">
        <f t="shared" si="50"/>
        <v>545</v>
      </c>
      <c r="J293">
        <f t="shared" si="51"/>
        <v>1027</v>
      </c>
      <c r="K293" s="5">
        <f t="shared" si="52"/>
        <v>0.24220183486238533</v>
      </c>
      <c r="L293" s="5">
        <f t="shared" si="53"/>
        <v>0.12852969814995133</v>
      </c>
    </row>
    <row r="294" spans="1:12" x14ac:dyDescent="0.25">
      <c r="A294">
        <f t="shared" si="44"/>
        <v>16</v>
      </c>
      <c r="B294">
        <f t="shared" si="45"/>
        <v>4</v>
      </c>
      <c r="C294" t="str">
        <f t="shared" si="46"/>
        <v>апр</v>
      </c>
      <c r="D294">
        <f t="shared" si="47"/>
        <v>2023</v>
      </c>
      <c r="E294" s="3">
        <v>45036</v>
      </c>
      <c r="F294" t="str">
        <f t="shared" si="48"/>
        <v>16-я нед. 2023</v>
      </c>
      <c r="G294" t="str">
        <f t="shared" si="49"/>
        <v>апр 2023</v>
      </c>
      <c r="H294">
        <v>131</v>
      </c>
      <c r="I294">
        <f t="shared" si="50"/>
        <v>545</v>
      </c>
      <c r="J294">
        <f t="shared" si="51"/>
        <v>1027</v>
      </c>
      <c r="K294" s="5">
        <f t="shared" si="52"/>
        <v>0.24036697247706423</v>
      </c>
      <c r="L294" s="5">
        <f t="shared" si="53"/>
        <v>0.12755598831548198</v>
      </c>
    </row>
    <row r="295" spans="1:12" x14ac:dyDescent="0.25">
      <c r="A295">
        <f t="shared" si="44"/>
        <v>16</v>
      </c>
      <c r="B295">
        <f t="shared" si="45"/>
        <v>4</v>
      </c>
      <c r="C295" t="str">
        <f t="shared" si="46"/>
        <v>апр</v>
      </c>
      <c r="D295">
        <f t="shared" si="47"/>
        <v>2023</v>
      </c>
      <c r="E295" s="3">
        <v>45037</v>
      </c>
      <c r="F295" t="str">
        <f t="shared" si="48"/>
        <v>16-я нед. 2023</v>
      </c>
      <c r="G295" t="str">
        <f t="shared" si="49"/>
        <v>апр 2023</v>
      </c>
      <c r="H295">
        <v>104</v>
      </c>
      <c r="I295">
        <f t="shared" si="50"/>
        <v>545</v>
      </c>
      <c r="J295">
        <f t="shared" si="51"/>
        <v>1027</v>
      </c>
      <c r="K295" s="5">
        <f t="shared" si="52"/>
        <v>0.19082568807339451</v>
      </c>
      <c r="L295" s="5">
        <f t="shared" si="53"/>
        <v>0.10126582278481013</v>
      </c>
    </row>
    <row r="296" spans="1:12" x14ac:dyDescent="0.25">
      <c r="A296">
        <f t="shared" si="44"/>
        <v>16</v>
      </c>
      <c r="B296">
        <f t="shared" si="45"/>
        <v>4</v>
      </c>
      <c r="C296" t="str">
        <f t="shared" si="46"/>
        <v>апр</v>
      </c>
      <c r="D296">
        <f t="shared" si="47"/>
        <v>2023</v>
      </c>
      <c r="E296" s="3">
        <v>45038</v>
      </c>
      <c r="F296" t="str">
        <f t="shared" si="48"/>
        <v>16-я нед. 2023</v>
      </c>
      <c r="G296" t="str">
        <f t="shared" si="49"/>
        <v>апр 2023</v>
      </c>
      <c r="H296">
        <v>105</v>
      </c>
      <c r="I296">
        <f t="shared" si="50"/>
        <v>545</v>
      </c>
      <c r="J296">
        <f t="shared" si="51"/>
        <v>1027</v>
      </c>
      <c r="K296" s="5">
        <f t="shared" si="52"/>
        <v>0.19266055045871561</v>
      </c>
      <c r="L296" s="5">
        <f t="shared" si="53"/>
        <v>0.10223953261927946</v>
      </c>
    </row>
    <row r="297" spans="1:12" x14ac:dyDescent="0.25">
      <c r="A297">
        <f t="shared" si="44"/>
        <v>16</v>
      </c>
      <c r="B297">
        <f t="shared" si="45"/>
        <v>4</v>
      </c>
      <c r="C297" t="str">
        <f t="shared" si="46"/>
        <v>апр</v>
      </c>
      <c r="D297">
        <f t="shared" si="47"/>
        <v>2023</v>
      </c>
      <c r="E297" s="3">
        <v>45039</v>
      </c>
      <c r="F297" t="str">
        <f t="shared" si="48"/>
        <v>16-я нед. 2023</v>
      </c>
      <c r="G297" t="str">
        <f t="shared" si="49"/>
        <v>апр 2023</v>
      </c>
      <c r="H297">
        <v>105</v>
      </c>
      <c r="I297">
        <f t="shared" si="50"/>
        <v>545</v>
      </c>
      <c r="J297">
        <f t="shared" si="51"/>
        <v>1027</v>
      </c>
      <c r="K297" s="5">
        <f t="shared" si="52"/>
        <v>0.19266055045871561</v>
      </c>
      <c r="L297" s="5">
        <f t="shared" si="53"/>
        <v>0.10223953261927946</v>
      </c>
    </row>
    <row r="298" spans="1:12" x14ac:dyDescent="0.25">
      <c r="A298">
        <f t="shared" si="44"/>
        <v>17</v>
      </c>
      <c r="B298">
        <f t="shared" si="45"/>
        <v>4</v>
      </c>
      <c r="C298" t="str">
        <f t="shared" si="46"/>
        <v>апр</v>
      </c>
      <c r="D298">
        <f t="shared" si="47"/>
        <v>2023</v>
      </c>
      <c r="E298" s="3">
        <v>45040</v>
      </c>
      <c r="F298" t="str">
        <f t="shared" si="48"/>
        <v>17-я нед. 2023</v>
      </c>
      <c r="G298" t="str">
        <f t="shared" si="49"/>
        <v>апр 2023</v>
      </c>
      <c r="H298">
        <v>90</v>
      </c>
      <c r="I298">
        <f t="shared" si="50"/>
        <v>422</v>
      </c>
      <c r="J298">
        <f t="shared" si="51"/>
        <v>1027</v>
      </c>
      <c r="K298" s="5">
        <f t="shared" si="52"/>
        <v>0.2132701421800948</v>
      </c>
      <c r="L298" s="5">
        <f t="shared" si="53"/>
        <v>8.7633885102239531E-2</v>
      </c>
    </row>
    <row r="299" spans="1:12" x14ac:dyDescent="0.25">
      <c r="A299">
        <f t="shared" si="44"/>
        <v>17</v>
      </c>
      <c r="B299">
        <f t="shared" si="45"/>
        <v>4</v>
      </c>
      <c r="C299" t="str">
        <f t="shared" si="46"/>
        <v>апр</v>
      </c>
      <c r="D299">
        <f t="shared" si="47"/>
        <v>2023</v>
      </c>
      <c r="E299" s="3">
        <v>45041</v>
      </c>
      <c r="F299" t="str">
        <f t="shared" si="48"/>
        <v>17-я нед. 2023</v>
      </c>
      <c r="G299" t="str">
        <f t="shared" si="49"/>
        <v>апр 2023</v>
      </c>
      <c r="H299">
        <v>101</v>
      </c>
      <c r="I299">
        <f t="shared" si="50"/>
        <v>422</v>
      </c>
      <c r="J299">
        <f t="shared" si="51"/>
        <v>1027</v>
      </c>
      <c r="K299" s="5">
        <f t="shared" si="52"/>
        <v>0.23933649289099526</v>
      </c>
      <c r="L299" s="5">
        <f t="shared" si="53"/>
        <v>9.8344693281402148E-2</v>
      </c>
    </row>
    <row r="300" spans="1:12" x14ac:dyDescent="0.25">
      <c r="A300">
        <f t="shared" si="44"/>
        <v>17</v>
      </c>
      <c r="B300">
        <f t="shared" si="45"/>
        <v>4</v>
      </c>
      <c r="C300" t="str">
        <f t="shared" si="46"/>
        <v>апр</v>
      </c>
      <c r="D300">
        <f t="shared" si="47"/>
        <v>2023</v>
      </c>
      <c r="E300" s="3">
        <v>45042</v>
      </c>
      <c r="F300" t="str">
        <f t="shared" si="48"/>
        <v>17-я нед. 2023</v>
      </c>
      <c r="G300" t="str">
        <f t="shared" si="49"/>
        <v>апр 2023</v>
      </c>
      <c r="H300">
        <v>92</v>
      </c>
      <c r="I300">
        <f t="shared" si="50"/>
        <v>422</v>
      </c>
      <c r="J300">
        <f t="shared" si="51"/>
        <v>1027</v>
      </c>
      <c r="K300" s="5">
        <f t="shared" si="52"/>
        <v>0.21800947867298578</v>
      </c>
      <c r="L300" s="5">
        <f t="shared" si="53"/>
        <v>8.9581304771178191E-2</v>
      </c>
    </row>
    <row r="301" spans="1:12" x14ac:dyDescent="0.25">
      <c r="A301">
        <f t="shared" si="44"/>
        <v>17</v>
      </c>
      <c r="B301">
        <f t="shared" si="45"/>
        <v>4</v>
      </c>
      <c r="C301" t="str">
        <f t="shared" si="46"/>
        <v>апр</v>
      </c>
      <c r="D301">
        <f t="shared" si="47"/>
        <v>2023</v>
      </c>
      <c r="E301" s="3">
        <v>45043</v>
      </c>
      <c r="F301" t="str">
        <f t="shared" si="48"/>
        <v>17-я нед. 2023</v>
      </c>
      <c r="G301" t="str">
        <f t="shared" si="49"/>
        <v>апр 2023</v>
      </c>
      <c r="H301">
        <v>68</v>
      </c>
      <c r="I301">
        <f t="shared" si="50"/>
        <v>422</v>
      </c>
      <c r="J301">
        <f t="shared" si="51"/>
        <v>1027</v>
      </c>
      <c r="K301" s="5">
        <f t="shared" si="52"/>
        <v>0.16113744075829384</v>
      </c>
      <c r="L301" s="5">
        <f t="shared" si="53"/>
        <v>6.621226874391431E-2</v>
      </c>
    </row>
    <row r="302" spans="1:12" x14ac:dyDescent="0.25">
      <c r="A302">
        <f t="shared" si="44"/>
        <v>17</v>
      </c>
      <c r="B302">
        <f t="shared" si="45"/>
        <v>4</v>
      </c>
      <c r="C302" t="str">
        <f t="shared" si="46"/>
        <v>апр</v>
      </c>
      <c r="D302">
        <f t="shared" si="47"/>
        <v>2023</v>
      </c>
      <c r="E302" s="3">
        <v>45044</v>
      </c>
      <c r="F302" t="str">
        <f t="shared" si="48"/>
        <v>17-я нед. 2023</v>
      </c>
      <c r="G302" t="str">
        <f t="shared" si="49"/>
        <v>апр 2023</v>
      </c>
      <c r="H302">
        <v>75</v>
      </c>
      <c r="I302">
        <f t="shared" si="50"/>
        <v>422</v>
      </c>
      <c r="J302">
        <f t="shared" si="51"/>
        <v>1027</v>
      </c>
      <c r="K302" s="5">
        <f t="shared" si="52"/>
        <v>0.17772511848341233</v>
      </c>
      <c r="L302" s="5">
        <f t="shared" si="53"/>
        <v>7.3028237585199607E-2</v>
      </c>
    </row>
    <row r="303" spans="1:12" x14ac:dyDescent="0.25">
      <c r="A303">
        <f t="shared" si="44"/>
        <v>17</v>
      </c>
      <c r="B303">
        <f t="shared" si="45"/>
        <v>4</v>
      </c>
      <c r="C303" t="str">
        <f t="shared" si="46"/>
        <v>апр</v>
      </c>
      <c r="D303">
        <f t="shared" si="47"/>
        <v>2023</v>
      </c>
      <c r="E303" s="3">
        <v>45045</v>
      </c>
      <c r="F303" t="str">
        <f t="shared" si="48"/>
        <v>17-я нед. 2023</v>
      </c>
      <c r="G303" t="str">
        <f t="shared" si="49"/>
        <v>апр 2023</v>
      </c>
      <c r="H303">
        <v>73</v>
      </c>
      <c r="I303">
        <f t="shared" si="50"/>
        <v>422</v>
      </c>
      <c r="J303">
        <f t="shared" si="51"/>
        <v>1027</v>
      </c>
      <c r="K303" s="5">
        <f t="shared" si="52"/>
        <v>0.17298578199052134</v>
      </c>
      <c r="L303" s="5">
        <f t="shared" si="53"/>
        <v>7.108081791626096E-2</v>
      </c>
    </row>
    <row r="304" spans="1:12" x14ac:dyDescent="0.25">
      <c r="A304">
        <f t="shared" si="44"/>
        <v>17</v>
      </c>
      <c r="B304">
        <f t="shared" si="45"/>
        <v>4</v>
      </c>
      <c r="C304" t="str">
        <f t="shared" si="46"/>
        <v>апр</v>
      </c>
      <c r="D304">
        <f t="shared" si="47"/>
        <v>2023</v>
      </c>
      <c r="E304" s="3">
        <v>45046</v>
      </c>
      <c r="F304" t="str">
        <f t="shared" si="48"/>
        <v>17-я нед. 2023</v>
      </c>
      <c r="G304" t="str">
        <f t="shared" si="49"/>
        <v>апр 2023</v>
      </c>
      <c r="H304">
        <v>71</v>
      </c>
      <c r="I304">
        <f t="shared" si="50"/>
        <v>422</v>
      </c>
      <c r="J304">
        <f t="shared" si="51"/>
        <v>1027</v>
      </c>
      <c r="K304" s="5">
        <f t="shared" si="52"/>
        <v>0.16824644549763032</v>
      </c>
      <c r="L304" s="5">
        <f t="shared" si="53"/>
        <v>6.91333982473223E-2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MAU</vt:lpstr>
      <vt:lpstr>WAU</vt:lpstr>
      <vt:lpstr>DAU</vt:lpstr>
      <vt:lpstr>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Daniil Cherezov</cp:lastModifiedBy>
  <dcterms:created xsi:type="dcterms:W3CDTF">2025-09-24T19:43:15Z</dcterms:created>
  <dcterms:modified xsi:type="dcterms:W3CDTF">2025-10-27T13:18:45Z</dcterms:modified>
</cp:coreProperties>
</file>