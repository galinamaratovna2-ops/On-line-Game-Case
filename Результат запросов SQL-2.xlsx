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ere\OneDrive\Рабочий стол\ГХ_SkyPro\Основы SQL\Воркшоп SQL-1 04.10.2025\"/>
    </mc:Choice>
  </mc:AlternateContent>
  <xr:revisionPtr revIDLastSave="0" documentId="13_ncr:1_{2F259FF8-A6DD-4CDC-9652-CD39A73F84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Query_result_1" sheetId="1" r:id="rId1"/>
    <sheet name="Query_result_2" sheetId="2" r:id="rId2"/>
    <sheet name="Query_result_3" sheetId="3" r:id="rId3"/>
  </sheets>
  <calcPr calcId="181029"/>
  <pivotCaches>
    <pivotCache cacheId="3" r:id="rId4"/>
  </pivotCaches>
</workbook>
</file>

<file path=xl/calcChain.xml><?xml version="1.0" encoding="utf-8"?>
<calcChain xmlns="http://schemas.openxmlformats.org/spreadsheetml/2006/main">
  <c r="Y26" i="3" l="1"/>
  <c r="Z26" i="3" s="1"/>
  <c r="W26" i="3"/>
  <c r="V26" i="3"/>
</calcChain>
</file>

<file path=xl/sharedStrings.xml><?xml version="1.0" encoding="utf-8"?>
<sst xmlns="http://schemas.openxmlformats.org/spreadsheetml/2006/main" count="104" uniqueCount="41">
  <si>
    <t>mm</t>
  </si>
  <si>
    <t>prod_type</t>
  </si>
  <si>
    <t>sum</t>
  </si>
  <si>
    <t>Ammo</t>
  </si>
  <si>
    <t>Currency</t>
  </si>
  <si>
    <t>Materials</t>
  </si>
  <si>
    <t>Transport</t>
  </si>
  <si>
    <t>Weapon</t>
  </si>
  <si>
    <t>interv</t>
  </si>
  <si>
    <t>Переделать результат второго задания!</t>
  </si>
  <si>
    <t>Сверить необходимые к выгрузке данные</t>
  </si>
  <si>
    <t>cnt</t>
  </si>
  <si>
    <t>avr_pr</t>
  </si>
  <si>
    <t>Вот здесь, справа, кажется все есть и даже больше!</t>
  </si>
  <si>
    <t>Кажется, нужны обведенные колонки</t>
  </si>
  <si>
    <t>Это результаты, полученные на воркшопе он-лайн</t>
  </si>
  <si>
    <t>Хочу проверить их своим способом</t>
  </si>
  <si>
    <t>2022</t>
  </si>
  <si>
    <t>2023</t>
  </si>
  <si>
    <t>Сумма по полю sum</t>
  </si>
  <si>
    <t>июл</t>
  </si>
  <si>
    <t>авг</t>
  </si>
  <si>
    <t>сен</t>
  </si>
  <si>
    <t>окт</t>
  </si>
  <si>
    <t>ноя</t>
  </si>
  <si>
    <t>дек</t>
  </si>
  <si>
    <t>янв</t>
  </si>
  <si>
    <t>фев</t>
  </si>
  <si>
    <t>мар</t>
  </si>
  <si>
    <t>апр</t>
  </si>
  <si>
    <t>Годы (mm)</t>
  </si>
  <si>
    <t>Месяцы (mm)</t>
  </si>
  <si>
    <t>Цифры из техзадания 2</t>
  </si>
  <si>
    <t>к-фактор</t>
  </si>
  <si>
    <t>Выручка</t>
  </si>
  <si>
    <t>Месяц</t>
  </si>
  <si>
    <t>Среднее кол-во кристаллов на 1 покупку</t>
  </si>
  <si>
    <t>Кол-во пользователей в когорте</t>
  </si>
  <si>
    <t>Средняя выручка на 1 пользователя</t>
  </si>
  <si>
    <t>Ср.выручка на 1 пользователя в месяц</t>
  </si>
  <si>
    <t>Суммарная выручка по когорте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</si>
</sst>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4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[Query_result_2025-10-04.xlsx]Query_result_1!Сводная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выручки</a:t>
            </a:r>
            <a:r>
              <a:rPr lang="ru-RU" baseline="0"/>
              <a:t> от продажи продуктов по типам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Query_result_1!$I$2:$I$3</c:f>
              <c:strCache>
                <c:ptCount val="1"/>
                <c:pt idx="0">
                  <c:v>Ammo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Query_result_1!$F$4:$H$13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Query_result_1!$I$4:$I$13</c:f>
              <c:numCache>
                <c:formatCode>General</c:formatCode>
                <c:ptCount val="10"/>
                <c:pt idx="0">
                  <c:v>11500</c:v>
                </c:pt>
                <c:pt idx="1">
                  <c:v>14750</c:v>
                </c:pt>
                <c:pt idx="2">
                  <c:v>18500</c:v>
                </c:pt>
                <c:pt idx="3">
                  <c:v>16250</c:v>
                </c:pt>
                <c:pt idx="4">
                  <c:v>22250</c:v>
                </c:pt>
                <c:pt idx="5">
                  <c:v>11250</c:v>
                </c:pt>
                <c:pt idx="6">
                  <c:v>31000</c:v>
                </c:pt>
                <c:pt idx="7">
                  <c:v>32500</c:v>
                </c:pt>
                <c:pt idx="8">
                  <c:v>49000</c:v>
                </c:pt>
                <c:pt idx="9">
                  <c:v>16750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F-422E-9137-EF7A1AED7BDF}"/>
            </c:ext>
          </c:extLst>
        </c:ser>
        <c:ser>
          <c:idx val="1"/>
          <c:order val="1"/>
          <c:tx>
            <c:strRef>
              <c:f>Query_result_1!$J$2:$J$3</c:f>
              <c:strCache>
                <c:ptCount val="1"/>
                <c:pt idx="0">
                  <c:v>Currency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Query_result_1!$F$4:$H$13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Query_result_1!$J$4:$J$13</c:f>
              <c:numCache>
                <c:formatCode>General</c:formatCode>
                <c:ptCount val="10"/>
                <c:pt idx="0">
                  <c:v>12930</c:v>
                </c:pt>
                <c:pt idx="1">
                  <c:v>39170</c:v>
                </c:pt>
                <c:pt idx="2">
                  <c:v>25580</c:v>
                </c:pt>
                <c:pt idx="3">
                  <c:v>31280</c:v>
                </c:pt>
                <c:pt idx="4">
                  <c:v>24580</c:v>
                </c:pt>
                <c:pt idx="5">
                  <c:v>26730</c:v>
                </c:pt>
                <c:pt idx="6">
                  <c:v>49300</c:v>
                </c:pt>
                <c:pt idx="7">
                  <c:v>45180</c:v>
                </c:pt>
                <c:pt idx="8">
                  <c:v>106440</c:v>
                </c:pt>
                <c:pt idx="9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BF-422E-9137-EF7A1AED7BDF}"/>
            </c:ext>
          </c:extLst>
        </c:ser>
        <c:ser>
          <c:idx val="2"/>
          <c:order val="2"/>
          <c:tx>
            <c:strRef>
              <c:f>Query_result_1!$K$2:$K$3</c:f>
              <c:strCache>
                <c:ptCount val="1"/>
                <c:pt idx="0">
                  <c:v>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Query_result_1!$F$4:$H$13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Query_result_1!$K$4:$K$13</c:f>
              <c:numCache>
                <c:formatCode>General</c:formatCode>
                <c:ptCount val="10"/>
                <c:pt idx="0">
                  <c:v>14700</c:v>
                </c:pt>
                <c:pt idx="1">
                  <c:v>11900</c:v>
                </c:pt>
                <c:pt idx="2">
                  <c:v>21800</c:v>
                </c:pt>
                <c:pt idx="3">
                  <c:v>18800</c:v>
                </c:pt>
                <c:pt idx="4">
                  <c:v>20400</c:v>
                </c:pt>
                <c:pt idx="5">
                  <c:v>18800</c:v>
                </c:pt>
                <c:pt idx="6">
                  <c:v>27000</c:v>
                </c:pt>
                <c:pt idx="7">
                  <c:v>30200</c:v>
                </c:pt>
                <c:pt idx="8">
                  <c:v>46500</c:v>
                </c:pt>
                <c:pt idx="9">
                  <c:v>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BF-422E-9137-EF7A1AED7BDF}"/>
            </c:ext>
          </c:extLst>
        </c:ser>
        <c:ser>
          <c:idx val="3"/>
          <c:order val="3"/>
          <c:tx>
            <c:strRef>
              <c:f>Query_result_1!$L$2:$L$3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Query_result_1!$F$4:$H$13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Query_result_1!$L$4:$L$13</c:f>
              <c:numCache>
                <c:formatCode>General</c:formatCode>
                <c:ptCount val="10"/>
                <c:pt idx="0">
                  <c:v>9485</c:v>
                </c:pt>
                <c:pt idx="1">
                  <c:v>11681</c:v>
                </c:pt>
                <c:pt idx="2">
                  <c:v>5291</c:v>
                </c:pt>
                <c:pt idx="3">
                  <c:v>9584</c:v>
                </c:pt>
                <c:pt idx="4">
                  <c:v>10782</c:v>
                </c:pt>
                <c:pt idx="5">
                  <c:v>5691</c:v>
                </c:pt>
                <c:pt idx="6">
                  <c:v>15374</c:v>
                </c:pt>
                <c:pt idx="7">
                  <c:v>15374</c:v>
                </c:pt>
                <c:pt idx="8">
                  <c:v>13578</c:v>
                </c:pt>
                <c:pt idx="9">
                  <c:v>10281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BF-422E-9137-EF7A1AED7BDF}"/>
            </c:ext>
          </c:extLst>
        </c:ser>
        <c:ser>
          <c:idx val="4"/>
          <c:order val="4"/>
          <c:tx>
            <c:strRef>
              <c:f>Query_result_1!$M$2:$M$3</c:f>
              <c:strCache>
                <c:ptCount val="1"/>
                <c:pt idx="0">
                  <c:v>Weapon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Query_result_1!$F$4:$H$13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Query_result_1!$M$4:$M$13</c:f>
              <c:numCache>
                <c:formatCode>General</c:formatCode>
                <c:ptCount val="10"/>
                <c:pt idx="0">
                  <c:v>798</c:v>
                </c:pt>
                <c:pt idx="1">
                  <c:v>1270</c:v>
                </c:pt>
                <c:pt idx="2">
                  <c:v>2039</c:v>
                </c:pt>
                <c:pt idx="3">
                  <c:v>599</c:v>
                </c:pt>
                <c:pt idx="4">
                  <c:v>1807</c:v>
                </c:pt>
                <c:pt idx="5">
                  <c:v>609</c:v>
                </c:pt>
                <c:pt idx="6">
                  <c:v>4064</c:v>
                </c:pt>
                <c:pt idx="7">
                  <c:v>1258</c:v>
                </c:pt>
                <c:pt idx="8">
                  <c:v>3670</c:v>
                </c:pt>
                <c:pt idx="9">
                  <c:v>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BF-422E-9137-EF7A1AED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244544"/>
        <c:axId val="843249344"/>
      </c:lineChart>
      <c:catAx>
        <c:axId val="84324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249344"/>
        <c:crosses val="autoZero"/>
        <c:auto val="1"/>
        <c:lblAlgn val="ctr"/>
        <c:lblOffset val="100"/>
        <c:noMultiLvlLbl val="0"/>
      </c:catAx>
      <c:valAx>
        <c:axId val="8432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24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среднего</a:t>
            </a:r>
            <a:r>
              <a:rPr lang="ru-RU" baseline="0"/>
              <a:t> объема покупки и </a:t>
            </a:r>
          </a:p>
          <a:p>
            <a:pPr>
              <a:defRPr/>
            </a:pPr>
            <a:r>
              <a:rPr lang="ru-RU" baseline="0"/>
              <a:t>выручки с продаж кристаллов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Query_result_2!$I$1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Query_result_2!$E$2:$E$11</c:f>
              <c:numCache>
                <c:formatCode>m/d/yyyy\ h:mm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Query_result_2!$I$2:$I$11</c:f>
              <c:numCache>
                <c:formatCode>General</c:formatCode>
                <c:ptCount val="10"/>
                <c:pt idx="0">
                  <c:v>4930</c:v>
                </c:pt>
                <c:pt idx="1">
                  <c:v>17170</c:v>
                </c:pt>
                <c:pt idx="2">
                  <c:v>12580</c:v>
                </c:pt>
                <c:pt idx="3">
                  <c:v>14280</c:v>
                </c:pt>
                <c:pt idx="4">
                  <c:v>12580</c:v>
                </c:pt>
                <c:pt idx="5">
                  <c:v>11730</c:v>
                </c:pt>
                <c:pt idx="6">
                  <c:v>14300</c:v>
                </c:pt>
                <c:pt idx="7">
                  <c:v>12980</c:v>
                </c:pt>
                <c:pt idx="8">
                  <c:v>37840</c:v>
                </c:pt>
                <c:pt idx="9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6-47AA-8A8E-1633CBB45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438016"/>
        <c:axId val="1396439456"/>
      </c:lineChart>
      <c:lineChart>
        <c:grouping val="standard"/>
        <c:varyColors val="0"/>
        <c:ser>
          <c:idx val="0"/>
          <c:order val="0"/>
          <c:tx>
            <c:strRef>
              <c:f>Query_result_2!$F$1</c:f>
              <c:strCache>
                <c:ptCount val="1"/>
                <c:pt idx="0">
                  <c:v>Среднее кол-во кристаллов на 1 покупку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Query_result_2!$E$2:$E$11</c:f>
              <c:numCache>
                <c:formatCode>m/d/yyyy\ h:mm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Query_result_2!$F$2:$F$11</c:f>
              <c:numCache>
                <c:formatCode>General</c:formatCode>
                <c:ptCount val="10"/>
                <c:pt idx="0">
                  <c:v>29</c:v>
                </c:pt>
                <c:pt idx="1">
                  <c:v>31</c:v>
                </c:pt>
                <c:pt idx="2">
                  <c:v>32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19</c:v>
                </c:pt>
                <c:pt idx="7">
                  <c:v>17</c:v>
                </c:pt>
                <c:pt idx="8">
                  <c:v>22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6-47AA-8A8E-1633CBB45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931504"/>
        <c:axId val="1457938704"/>
      </c:lineChart>
      <c:dateAx>
        <c:axId val="139643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439456"/>
        <c:crosses val="autoZero"/>
        <c:auto val="1"/>
        <c:lblOffset val="100"/>
        <c:baseTimeUnit val="months"/>
      </c:dateAx>
      <c:valAx>
        <c:axId val="13964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438016"/>
        <c:crosses val="autoZero"/>
        <c:crossBetween val="between"/>
      </c:valAx>
      <c:valAx>
        <c:axId val="1457938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Средний</a:t>
                </a:r>
                <a:r>
                  <a:rPr lang="ru-RU" baseline="0"/>
                  <a:t> объем покупки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7931504"/>
        <c:crosses val="max"/>
        <c:crossBetween val="between"/>
      </c:valAx>
      <c:dateAx>
        <c:axId val="145793150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579387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показателей</a:t>
            </a:r>
            <a:r>
              <a:rPr lang="ru-RU" baseline="0"/>
              <a:t> выручки по когортам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Query_result_3!$B$1</c:f>
              <c:strCache>
                <c:ptCount val="1"/>
                <c:pt idx="0">
                  <c:v>Суммарная выручка по когорте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Query_result_3!$A$2:$A$10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Query_result_3!$B$2:$B$10</c:f>
              <c:numCache>
                <c:formatCode>General</c:formatCode>
                <c:ptCount val="9"/>
                <c:pt idx="0">
                  <c:v>84168</c:v>
                </c:pt>
                <c:pt idx="1">
                  <c:v>65006</c:v>
                </c:pt>
                <c:pt idx="2">
                  <c:v>86312</c:v>
                </c:pt>
                <c:pt idx="3">
                  <c:v>80844</c:v>
                </c:pt>
                <c:pt idx="4">
                  <c:v>80719</c:v>
                </c:pt>
                <c:pt idx="5">
                  <c:v>82357</c:v>
                </c:pt>
                <c:pt idx="6">
                  <c:v>129700</c:v>
                </c:pt>
                <c:pt idx="7">
                  <c:v>143247</c:v>
                </c:pt>
                <c:pt idx="8">
                  <c:v>224011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0-4895-B309-46118E22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440704"/>
        <c:axId val="171743638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Query_result_3!$E$1</c15:sqref>
                        </c15:formulaRef>
                      </c:ext>
                    </c:extLst>
                    <c:strCache>
                      <c:ptCount val="1"/>
                      <c:pt idx="0">
                        <c:v>interv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Query_result_3!$A$2:$A$10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44743</c:v>
                      </c:pt>
                      <c:pt idx="1">
                        <c:v>44774</c:v>
                      </c:pt>
                      <c:pt idx="2">
                        <c:v>44805</c:v>
                      </c:pt>
                      <c:pt idx="3">
                        <c:v>44835</c:v>
                      </c:pt>
                      <c:pt idx="4">
                        <c:v>44866</c:v>
                      </c:pt>
                      <c:pt idx="5">
                        <c:v>44896</c:v>
                      </c:pt>
                      <c:pt idx="6">
                        <c:v>44927</c:v>
                      </c:pt>
                      <c:pt idx="7">
                        <c:v>44958</c:v>
                      </c:pt>
                      <c:pt idx="8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Query_result_3!$E$2:$E$10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</c:v>
                      </c:pt>
                      <c:pt idx="1">
                        <c:v>9</c:v>
                      </c:pt>
                      <c:pt idx="2">
                        <c:v>7</c:v>
                      </c:pt>
                      <c:pt idx="3">
                        <c:v>6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2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680-4895-B309-46118E22A25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1"/>
          <c:tx>
            <c:strRef>
              <c:f>Query_result_3!$C$1</c:f>
              <c:strCache>
                <c:ptCount val="1"/>
                <c:pt idx="0">
                  <c:v>Кол-во пользователей в когорте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Query_result_3!$A$2:$A$10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Query_result_3!$C$2:$C$10</c:f>
              <c:numCache>
                <c:formatCode>General</c:formatCode>
                <c:ptCount val="9"/>
                <c:pt idx="0">
                  <c:v>71</c:v>
                </c:pt>
                <c:pt idx="1">
                  <c:v>76</c:v>
                </c:pt>
                <c:pt idx="2">
                  <c:v>82</c:v>
                </c:pt>
                <c:pt idx="3">
                  <c:v>87</c:v>
                </c:pt>
                <c:pt idx="4">
                  <c:v>77</c:v>
                </c:pt>
                <c:pt idx="5">
                  <c:v>83</c:v>
                </c:pt>
                <c:pt idx="6">
                  <c:v>127</c:v>
                </c:pt>
                <c:pt idx="7">
                  <c:v>124</c:v>
                </c:pt>
                <c:pt idx="8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0-4895-B309-46118E22A252}"/>
            </c:ext>
          </c:extLst>
        </c:ser>
        <c:ser>
          <c:idx val="2"/>
          <c:order val="2"/>
          <c:tx>
            <c:strRef>
              <c:f>Query_result_3!$D$1</c:f>
              <c:strCache>
                <c:ptCount val="1"/>
                <c:pt idx="0">
                  <c:v>Средняя выручка на 1 пользователя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Query_result_3!$A$2:$A$10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Query_result_3!$D$2:$D$10</c:f>
              <c:numCache>
                <c:formatCode>General</c:formatCode>
                <c:ptCount val="9"/>
                <c:pt idx="0">
                  <c:v>1185.4647887323943</c:v>
                </c:pt>
                <c:pt idx="1">
                  <c:v>855.34210526315792</c:v>
                </c:pt>
                <c:pt idx="2">
                  <c:v>1052.5853658536585</c:v>
                </c:pt>
                <c:pt idx="3">
                  <c:v>929.24137931034488</c:v>
                </c:pt>
                <c:pt idx="4">
                  <c:v>1048.2987012987012</c:v>
                </c:pt>
                <c:pt idx="5">
                  <c:v>992.25301204819277</c:v>
                </c:pt>
                <c:pt idx="6">
                  <c:v>1021.2598425196851</c:v>
                </c:pt>
                <c:pt idx="7">
                  <c:v>1155.2177419354839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0-4895-B309-46118E22A252}"/>
            </c:ext>
          </c:extLst>
        </c:ser>
        <c:ser>
          <c:idx val="4"/>
          <c:order val="4"/>
          <c:tx>
            <c:strRef>
              <c:f>Query_result_3!$F$1</c:f>
              <c:strCache>
                <c:ptCount val="1"/>
                <c:pt idx="0">
                  <c:v>Ср.выручка на 1 пользователя в месяц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Query_result_3!$A$2:$A$10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Query_result_3!$F$2:$F$10</c:f>
              <c:numCache>
                <c:formatCode>General</c:formatCode>
                <c:ptCount val="9"/>
                <c:pt idx="0">
                  <c:v>118.54647887323942</c:v>
                </c:pt>
                <c:pt idx="1">
                  <c:v>95.038011695906434</c:v>
                </c:pt>
                <c:pt idx="2">
                  <c:v>150.36933797909407</c:v>
                </c:pt>
                <c:pt idx="3">
                  <c:v>154.87356321839081</c:v>
                </c:pt>
                <c:pt idx="4">
                  <c:v>209.65974025974023</c:v>
                </c:pt>
                <c:pt idx="5">
                  <c:v>248.06325301204819</c:v>
                </c:pt>
                <c:pt idx="6">
                  <c:v>340.4199475065617</c:v>
                </c:pt>
                <c:pt idx="7">
                  <c:v>577.60887096774195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80-4895-B309-46118E22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53344"/>
        <c:axId val="119250464"/>
      </c:lineChart>
      <c:dateAx>
        <c:axId val="171744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7436384"/>
        <c:crosses val="autoZero"/>
        <c:auto val="1"/>
        <c:lblOffset val="100"/>
        <c:baseTimeUnit val="months"/>
      </c:dateAx>
      <c:valAx>
        <c:axId val="171743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7440704"/>
        <c:crosses val="autoZero"/>
        <c:crossBetween val="between"/>
      </c:valAx>
      <c:valAx>
        <c:axId val="119250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 когорты, чел. / Средняя выручка на 1 чел. в месяц,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53344"/>
        <c:crosses val="max"/>
        <c:crossBetween val="between"/>
      </c:valAx>
      <c:dateAx>
        <c:axId val="1192533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925046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19051</xdr:rowOff>
    </xdr:from>
    <xdr:to>
      <xdr:col>14</xdr:col>
      <xdr:colOff>542925</xdr:colOff>
      <xdr:row>35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B48934C-BF86-6307-3BC5-BA8F40ADE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19048</xdr:colOff>
      <xdr:row>0</xdr:row>
      <xdr:rowOff>157162</xdr:rowOff>
    </xdr:from>
    <xdr:to>
      <xdr:col>20</xdr:col>
      <xdr:colOff>266699</xdr:colOff>
      <xdr:row>25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AE1C1C-1BBA-A27F-8290-7F87DA58B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0</xdr:row>
      <xdr:rowOff>166686</xdr:rowOff>
    </xdr:from>
    <xdr:to>
      <xdr:col>17</xdr:col>
      <xdr:colOff>495300</xdr:colOff>
      <xdr:row>23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75DF28-9D56-E9DE-1052-54DF28AE2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il Cherezov" refreshedDate="45937.863380787036" createdVersion="8" refreshedVersion="8" minRefreshableVersion="3" recordCount="50" xr:uid="{5D432989-5B41-4DE8-AAFA-27549DB7AF5F}">
  <cacheSource type="worksheet">
    <worksheetSource ref="A1:C51" sheet="Query_result_1"/>
  </cacheSource>
  <cacheFields count="6">
    <cacheField name="mm" numFmtId="22">
      <sharedItems containsSemiMixedTypes="0" containsNonDate="0" containsDate="1" containsString="0" minDate="2022-07-01T00:00:00" maxDate="2023-04-02T00:00:00" count="10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  <fieldGroup par="5"/>
    </cacheField>
    <cacheField name="prod_type" numFmtId="0">
      <sharedItems count="5">
        <s v="Ammo"/>
        <s v="Currency"/>
        <s v="Materials"/>
        <s v="Transport"/>
        <s v="Weapon"/>
      </sharedItems>
    </cacheField>
    <cacheField name="sum" numFmtId="0">
      <sharedItems containsSemiMixedTypes="0" containsString="0" containsNumber="1" containsInteger="1" minValue="599" maxValue="106440"/>
    </cacheField>
    <cacheField name="Месяцы (mm)" numFmtId="0" databaseField="0">
      <fieldGroup base="0">
        <rangePr groupBy="months" startDate="2022-07-01T00:00:00" endDate="2023-04-02T00:00:00"/>
        <groupItems count="14">
          <s v="&lt;01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3"/>
        </groupItems>
      </fieldGroup>
    </cacheField>
    <cacheField name="Кварталы (mm)" numFmtId="0" databaseField="0">
      <fieldGroup base="0">
        <rangePr groupBy="quarters" startDate="2022-07-01T00:00:00" endDate="2023-04-02T00:00:00"/>
        <groupItems count="6">
          <s v="&lt;01.07.2022"/>
          <s v="Кв-л1"/>
          <s v="Кв-л2"/>
          <s v="Кв-л3"/>
          <s v="Кв-л4"/>
          <s v="&gt;02.04.2023"/>
        </groupItems>
      </fieldGroup>
    </cacheField>
    <cacheField name="Годы (mm)" numFmtId="0" databaseField="0">
      <fieldGroup base="0">
        <rangePr groupBy="years" startDate="2022-07-01T00:00:00" endDate="2023-04-02T00:00:00"/>
        <groupItems count="4">
          <s v="&lt;01.07.2022"/>
          <s v="2022"/>
          <s v="2023"/>
          <s v="&gt;02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1500"/>
  </r>
  <r>
    <x v="0"/>
    <x v="1"/>
    <n v="12930"/>
  </r>
  <r>
    <x v="0"/>
    <x v="2"/>
    <n v="14700"/>
  </r>
  <r>
    <x v="0"/>
    <x v="3"/>
    <n v="9485"/>
  </r>
  <r>
    <x v="0"/>
    <x v="4"/>
    <n v="798"/>
  </r>
  <r>
    <x v="1"/>
    <x v="0"/>
    <n v="14750"/>
  </r>
  <r>
    <x v="1"/>
    <x v="1"/>
    <n v="39170"/>
  </r>
  <r>
    <x v="1"/>
    <x v="2"/>
    <n v="11900"/>
  </r>
  <r>
    <x v="1"/>
    <x v="3"/>
    <n v="11681"/>
  </r>
  <r>
    <x v="1"/>
    <x v="4"/>
    <n v="1270"/>
  </r>
  <r>
    <x v="2"/>
    <x v="0"/>
    <n v="18500"/>
  </r>
  <r>
    <x v="2"/>
    <x v="1"/>
    <n v="25580"/>
  </r>
  <r>
    <x v="2"/>
    <x v="2"/>
    <n v="21800"/>
  </r>
  <r>
    <x v="2"/>
    <x v="3"/>
    <n v="5291"/>
  </r>
  <r>
    <x v="2"/>
    <x v="4"/>
    <n v="2039"/>
  </r>
  <r>
    <x v="3"/>
    <x v="0"/>
    <n v="16250"/>
  </r>
  <r>
    <x v="3"/>
    <x v="1"/>
    <n v="31280"/>
  </r>
  <r>
    <x v="3"/>
    <x v="2"/>
    <n v="18800"/>
  </r>
  <r>
    <x v="3"/>
    <x v="3"/>
    <n v="9584"/>
  </r>
  <r>
    <x v="3"/>
    <x v="4"/>
    <n v="599"/>
  </r>
  <r>
    <x v="4"/>
    <x v="0"/>
    <n v="22250"/>
  </r>
  <r>
    <x v="4"/>
    <x v="1"/>
    <n v="24580"/>
  </r>
  <r>
    <x v="4"/>
    <x v="2"/>
    <n v="20400"/>
  </r>
  <r>
    <x v="4"/>
    <x v="3"/>
    <n v="10782"/>
  </r>
  <r>
    <x v="4"/>
    <x v="4"/>
    <n v="1807"/>
  </r>
  <r>
    <x v="5"/>
    <x v="0"/>
    <n v="11250"/>
  </r>
  <r>
    <x v="5"/>
    <x v="1"/>
    <n v="26730"/>
  </r>
  <r>
    <x v="5"/>
    <x v="2"/>
    <n v="18800"/>
  </r>
  <r>
    <x v="5"/>
    <x v="3"/>
    <n v="5691"/>
  </r>
  <r>
    <x v="5"/>
    <x v="4"/>
    <n v="609"/>
  </r>
  <r>
    <x v="6"/>
    <x v="0"/>
    <n v="31000"/>
  </r>
  <r>
    <x v="6"/>
    <x v="1"/>
    <n v="49300"/>
  </r>
  <r>
    <x v="6"/>
    <x v="2"/>
    <n v="27000"/>
  </r>
  <r>
    <x v="6"/>
    <x v="3"/>
    <n v="15374"/>
  </r>
  <r>
    <x v="6"/>
    <x v="4"/>
    <n v="4064"/>
  </r>
  <r>
    <x v="7"/>
    <x v="0"/>
    <n v="32500"/>
  </r>
  <r>
    <x v="7"/>
    <x v="1"/>
    <n v="45180"/>
  </r>
  <r>
    <x v="7"/>
    <x v="2"/>
    <n v="30200"/>
  </r>
  <r>
    <x v="7"/>
    <x v="3"/>
    <n v="15374"/>
  </r>
  <r>
    <x v="7"/>
    <x v="4"/>
    <n v="1258"/>
  </r>
  <r>
    <x v="8"/>
    <x v="0"/>
    <n v="49000"/>
  </r>
  <r>
    <x v="8"/>
    <x v="1"/>
    <n v="106440"/>
  </r>
  <r>
    <x v="8"/>
    <x v="2"/>
    <n v="46500"/>
  </r>
  <r>
    <x v="8"/>
    <x v="3"/>
    <n v="13578"/>
  </r>
  <r>
    <x v="8"/>
    <x v="4"/>
    <n v="3670"/>
  </r>
  <r>
    <x v="9"/>
    <x v="0"/>
    <n v="16750"/>
  </r>
  <r>
    <x v="9"/>
    <x v="1"/>
    <n v="39800"/>
  </r>
  <r>
    <x v="9"/>
    <x v="2"/>
    <n v="26500"/>
  </r>
  <r>
    <x v="9"/>
    <x v="3"/>
    <n v="10281"/>
  </r>
  <r>
    <x v="9"/>
    <x v="4"/>
    <n v="1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4CB07-65FD-4E19-A7F9-01C5A510746E}" name="Сводная таблица1" cacheId="3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2">
  <location ref="F2:M13" firstHeaderRow="1" firstDataRow="2" firstDataCol="3"/>
  <pivotFields count="6">
    <pivotField axis="axisRow" compact="0" numFmtId="22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3"/>
    <field x="0"/>
  </rowFields>
  <rowItems count="10">
    <i>
      <x v="1"/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Сумма по полю sum" fld="2" baseField="5" baseItem="1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opLeftCell="A7" workbookViewId="0">
      <selection activeCell="N11" sqref="N11"/>
    </sheetView>
  </sheetViews>
  <sheetFormatPr defaultRowHeight="15" x14ac:dyDescent="0.25"/>
  <cols>
    <col min="1" max="1" width="14.28515625" bestFit="1" customWidth="1"/>
    <col min="2" max="2" width="10.140625" bestFit="1" customWidth="1"/>
    <col min="6" max="6" width="19.85546875" bestFit="1" customWidth="1"/>
    <col min="7" max="7" width="20.85546875" bestFit="1" customWidth="1"/>
    <col min="8" max="8" width="6.7109375" bestFit="1" customWidth="1"/>
    <col min="9" max="9" width="12.42578125" bestFit="1" customWidth="1"/>
    <col min="10" max="10" width="8.85546875" bestFit="1" customWidth="1"/>
    <col min="11" max="12" width="9.42578125" bestFit="1" customWidth="1"/>
    <col min="13" max="13" width="8.5703125" bestFit="1" customWidth="1"/>
  </cols>
  <sheetData>
    <row r="1" spans="1:13" x14ac:dyDescent="0.25">
      <c r="A1" t="s">
        <v>0</v>
      </c>
      <c r="B1" t="s">
        <v>1</v>
      </c>
      <c r="C1" t="s">
        <v>2</v>
      </c>
    </row>
    <row r="2" spans="1:13" x14ac:dyDescent="0.25">
      <c r="A2" s="1">
        <v>44743</v>
      </c>
      <c r="B2" t="s">
        <v>3</v>
      </c>
      <c r="C2">
        <v>11500</v>
      </c>
      <c r="F2" s="5" t="s">
        <v>19</v>
      </c>
      <c r="I2" s="5" t="s">
        <v>1</v>
      </c>
    </row>
    <row r="3" spans="1:13" x14ac:dyDescent="0.25">
      <c r="A3" s="1">
        <v>44743</v>
      </c>
      <c r="B3" t="s">
        <v>4</v>
      </c>
      <c r="C3">
        <v>12930</v>
      </c>
      <c r="F3" s="5" t="s">
        <v>30</v>
      </c>
      <c r="G3" s="5" t="s">
        <v>31</v>
      </c>
      <c r="H3" s="5" t="s">
        <v>0</v>
      </c>
      <c r="I3" t="s">
        <v>3</v>
      </c>
      <c r="J3" t="s">
        <v>4</v>
      </c>
      <c r="K3" t="s">
        <v>5</v>
      </c>
      <c r="L3" t="s">
        <v>6</v>
      </c>
      <c r="M3" t="s">
        <v>7</v>
      </c>
    </row>
    <row r="4" spans="1:13" x14ac:dyDescent="0.25">
      <c r="A4" s="1">
        <v>44743</v>
      </c>
      <c r="B4" t="s">
        <v>5</v>
      </c>
      <c r="C4">
        <v>14700</v>
      </c>
      <c r="F4" t="s">
        <v>17</v>
      </c>
      <c r="G4" s="6" t="s">
        <v>20</v>
      </c>
      <c r="I4">
        <v>11500</v>
      </c>
      <c r="J4">
        <v>12930</v>
      </c>
      <c r="K4">
        <v>14700</v>
      </c>
      <c r="L4">
        <v>9485</v>
      </c>
      <c r="M4">
        <v>798</v>
      </c>
    </row>
    <row r="5" spans="1:13" x14ac:dyDescent="0.25">
      <c r="A5" s="1">
        <v>44743</v>
      </c>
      <c r="B5" t="s">
        <v>6</v>
      </c>
      <c r="C5">
        <v>9485</v>
      </c>
      <c r="F5" t="s">
        <v>17</v>
      </c>
      <c r="G5" s="6" t="s">
        <v>21</v>
      </c>
      <c r="I5">
        <v>14750</v>
      </c>
      <c r="J5">
        <v>39170</v>
      </c>
      <c r="K5">
        <v>11900</v>
      </c>
      <c r="L5">
        <v>11681</v>
      </c>
      <c r="M5">
        <v>1270</v>
      </c>
    </row>
    <row r="6" spans="1:13" x14ac:dyDescent="0.25">
      <c r="A6" s="1">
        <v>44743</v>
      </c>
      <c r="B6" t="s">
        <v>7</v>
      </c>
      <c r="C6">
        <v>798</v>
      </c>
      <c r="F6" t="s">
        <v>17</v>
      </c>
      <c r="G6" s="6" t="s">
        <v>22</v>
      </c>
      <c r="I6">
        <v>18500</v>
      </c>
      <c r="J6">
        <v>25580</v>
      </c>
      <c r="K6">
        <v>21800</v>
      </c>
      <c r="L6">
        <v>5291</v>
      </c>
      <c r="M6">
        <v>2039</v>
      </c>
    </row>
    <row r="7" spans="1:13" x14ac:dyDescent="0.25">
      <c r="A7" s="1">
        <v>44774</v>
      </c>
      <c r="B7" t="s">
        <v>3</v>
      </c>
      <c r="C7">
        <v>14750</v>
      </c>
      <c r="F7" t="s">
        <v>17</v>
      </c>
      <c r="G7" s="6" t="s">
        <v>23</v>
      </c>
      <c r="I7">
        <v>16250</v>
      </c>
      <c r="J7">
        <v>31280</v>
      </c>
      <c r="K7">
        <v>18800</v>
      </c>
      <c r="L7">
        <v>9584</v>
      </c>
      <c r="M7">
        <v>599</v>
      </c>
    </row>
    <row r="8" spans="1:13" x14ac:dyDescent="0.25">
      <c r="A8" s="1">
        <v>44774</v>
      </c>
      <c r="B8" t="s">
        <v>4</v>
      </c>
      <c r="C8">
        <v>39170</v>
      </c>
      <c r="F8" t="s">
        <v>17</v>
      </c>
      <c r="G8" s="6" t="s">
        <v>24</v>
      </c>
      <c r="I8">
        <v>22250</v>
      </c>
      <c r="J8">
        <v>24580</v>
      </c>
      <c r="K8">
        <v>20400</v>
      </c>
      <c r="L8">
        <v>10782</v>
      </c>
      <c r="M8">
        <v>1807</v>
      </c>
    </row>
    <row r="9" spans="1:13" x14ac:dyDescent="0.25">
      <c r="A9" s="1">
        <v>44774</v>
      </c>
      <c r="B9" t="s">
        <v>5</v>
      </c>
      <c r="C9">
        <v>11900</v>
      </c>
      <c r="F9" t="s">
        <v>17</v>
      </c>
      <c r="G9" s="6" t="s">
        <v>25</v>
      </c>
      <c r="I9">
        <v>11250</v>
      </c>
      <c r="J9">
        <v>26730</v>
      </c>
      <c r="K9">
        <v>18800</v>
      </c>
      <c r="L9">
        <v>5691</v>
      </c>
      <c r="M9">
        <v>609</v>
      </c>
    </row>
    <row r="10" spans="1:13" x14ac:dyDescent="0.25">
      <c r="A10" s="1">
        <v>44774</v>
      </c>
      <c r="B10" t="s">
        <v>6</v>
      </c>
      <c r="C10">
        <v>11681</v>
      </c>
      <c r="F10" t="s">
        <v>18</v>
      </c>
      <c r="G10" s="6" t="s">
        <v>26</v>
      </c>
      <c r="I10">
        <v>31000</v>
      </c>
      <c r="J10">
        <v>49300</v>
      </c>
      <c r="K10">
        <v>27000</v>
      </c>
      <c r="L10">
        <v>15374</v>
      </c>
      <c r="M10">
        <v>4064</v>
      </c>
    </row>
    <row r="11" spans="1:13" x14ac:dyDescent="0.25">
      <c r="A11" s="1">
        <v>44774</v>
      </c>
      <c r="B11" t="s">
        <v>7</v>
      </c>
      <c r="C11">
        <v>1270</v>
      </c>
      <c r="F11" t="s">
        <v>18</v>
      </c>
      <c r="G11" s="6" t="s">
        <v>27</v>
      </c>
      <c r="I11">
        <v>32500</v>
      </c>
      <c r="J11">
        <v>45180</v>
      </c>
      <c r="K11">
        <v>30200</v>
      </c>
      <c r="L11">
        <v>15374</v>
      </c>
      <c r="M11">
        <v>1258</v>
      </c>
    </row>
    <row r="12" spans="1:13" x14ac:dyDescent="0.25">
      <c r="A12" s="1">
        <v>44805</v>
      </c>
      <c r="B12" t="s">
        <v>3</v>
      </c>
      <c r="C12">
        <v>18500</v>
      </c>
      <c r="F12" t="s">
        <v>18</v>
      </c>
      <c r="G12" s="6" t="s">
        <v>28</v>
      </c>
      <c r="I12">
        <v>49000</v>
      </c>
      <c r="J12">
        <v>106440</v>
      </c>
      <c r="K12">
        <v>46500</v>
      </c>
      <c r="L12">
        <v>13578</v>
      </c>
      <c r="M12">
        <v>3670</v>
      </c>
    </row>
    <row r="13" spans="1:13" x14ac:dyDescent="0.25">
      <c r="A13" s="1">
        <v>44805</v>
      </c>
      <c r="B13" t="s">
        <v>4</v>
      </c>
      <c r="C13">
        <v>25580</v>
      </c>
      <c r="F13" t="s">
        <v>18</v>
      </c>
      <c r="G13" s="6" t="s">
        <v>29</v>
      </c>
      <c r="I13">
        <v>16750</v>
      </c>
      <c r="J13">
        <v>39800</v>
      </c>
      <c r="K13">
        <v>26500</v>
      </c>
      <c r="L13">
        <v>10281</v>
      </c>
      <c r="M13">
        <v>1669</v>
      </c>
    </row>
    <row r="14" spans="1:13" x14ac:dyDescent="0.25">
      <c r="A14" s="1">
        <v>44805</v>
      </c>
      <c r="B14" t="s">
        <v>5</v>
      </c>
      <c r="C14">
        <v>21800</v>
      </c>
    </row>
    <row r="15" spans="1:13" x14ac:dyDescent="0.25">
      <c r="A15" s="1">
        <v>44805</v>
      </c>
      <c r="B15" t="s">
        <v>6</v>
      </c>
      <c r="C15">
        <v>5291</v>
      </c>
    </row>
    <row r="16" spans="1:13" x14ac:dyDescent="0.25">
      <c r="A16" s="1">
        <v>44805</v>
      </c>
      <c r="B16" t="s">
        <v>7</v>
      </c>
      <c r="C16">
        <v>2039</v>
      </c>
    </row>
    <row r="17" spans="1:3" x14ac:dyDescent="0.25">
      <c r="A17" s="1">
        <v>44835</v>
      </c>
      <c r="B17" t="s">
        <v>3</v>
      </c>
      <c r="C17">
        <v>16250</v>
      </c>
    </row>
    <row r="18" spans="1:3" x14ac:dyDescent="0.25">
      <c r="A18" s="1">
        <v>44835</v>
      </c>
      <c r="B18" t="s">
        <v>4</v>
      </c>
      <c r="C18">
        <v>31280</v>
      </c>
    </row>
    <row r="19" spans="1:3" x14ac:dyDescent="0.25">
      <c r="A19" s="1">
        <v>44835</v>
      </c>
      <c r="B19" t="s">
        <v>5</v>
      </c>
      <c r="C19">
        <v>18800</v>
      </c>
    </row>
    <row r="20" spans="1:3" x14ac:dyDescent="0.25">
      <c r="A20" s="1">
        <v>44835</v>
      </c>
      <c r="B20" t="s">
        <v>6</v>
      </c>
      <c r="C20">
        <v>9584</v>
      </c>
    </row>
    <row r="21" spans="1:3" x14ac:dyDescent="0.25">
      <c r="A21" s="1">
        <v>44835</v>
      </c>
      <c r="B21" t="s">
        <v>7</v>
      </c>
      <c r="C21">
        <v>599</v>
      </c>
    </row>
    <row r="22" spans="1:3" x14ac:dyDescent="0.25">
      <c r="A22" s="1">
        <v>44866</v>
      </c>
      <c r="B22" t="s">
        <v>3</v>
      </c>
      <c r="C22">
        <v>22250</v>
      </c>
    </row>
    <row r="23" spans="1:3" x14ac:dyDescent="0.25">
      <c r="A23" s="1">
        <v>44866</v>
      </c>
      <c r="B23" t="s">
        <v>4</v>
      </c>
      <c r="C23">
        <v>24580</v>
      </c>
    </row>
    <row r="24" spans="1:3" x14ac:dyDescent="0.25">
      <c r="A24" s="1">
        <v>44866</v>
      </c>
      <c r="B24" t="s">
        <v>5</v>
      </c>
      <c r="C24">
        <v>20400</v>
      </c>
    </row>
    <row r="25" spans="1:3" x14ac:dyDescent="0.25">
      <c r="A25" s="1">
        <v>44866</v>
      </c>
      <c r="B25" t="s">
        <v>6</v>
      </c>
      <c r="C25">
        <v>10782</v>
      </c>
    </row>
    <row r="26" spans="1:3" x14ac:dyDescent="0.25">
      <c r="A26" s="1">
        <v>44866</v>
      </c>
      <c r="B26" t="s">
        <v>7</v>
      </c>
      <c r="C26">
        <v>1807</v>
      </c>
    </row>
    <row r="27" spans="1:3" x14ac:dyDescent="0.25">
      <c r="A27" s="1">
        <v>44896</v>
      </c>
      <c r="B27" t="s">
        <v>3</v>
      </c>
      <c r="C27">
        <v>11250</v>
      </c>
    </row>
    <row r="28" spans="1:3" x14ac:dyDescent="0.25">
      <c r="A28" s="1">
        <v>44896</v>
      </c>
      <c r="B28" t="s">
        <v>4</v>
      </c>
      <c r="C28">
        <v>26730</v>
      </c>
    </row>
    <row r="29" spans="1:3" x14ac:dyDescent="0.25">
      <c r="A29" s="1">
        <v>44896</v>
      </c>
      <c r="B29" t="s">
        <v>5</v>
      </c>
      <c r="C29">
        <v>18800</v>
      </c>
    </row>
    <row r="30" spans="1:3" x14ac:dyDescent="0.25">
      <c r="A30" s="1">
        <v>44896</v>
      </c>
      <c r="B30" t="s">
        <v>6</v>
      </c>
      <c r="C30">
        <v>5691</v>
      </c>
    </row>
    <row r="31" spans="1:3" x14ac:dyDescent="0.25">
      <c r="A31" s="1">
        <v>44896</v>
      </c>
      <c r="B31" t="s">
        <v>7</v>
      </c>
      <c r="C31">
        <v>609</v>
      </c>
    </row>
    <row r="32" spans="1:3" x14ac:dyDescent="0.25">
      <c r="A32" s="1">
        <v>44927</v>
      </c>
      <c r="B32" t="s">
        <v>3</v>
      </c>
      <c r="C32">
        <v>31000</v>
      </c>
    </row>
    <row r="33" spans="1:3" x14ac:dyDescent="0.25">
      <c r="A33" s="1">
        <v>44927</v>
      </c>
      <c r="B33" t="s">
        <v>4</v>
      </c>
      <c r="C33">
        <v>49300</v>
      </c>
    </row>
    <row r="34" spans="1:3" x14ac:dyDescent="0.25">
      <c r="A34" s="1">
        <v>44927</v>
      </c>
      <c r="B34" t="s">
        <v>5</v>
      </c>
      <c r="C34">
        <v>27000</v>
      </c>
    </row>
    <row r="35" spans="1:3" x14ac:dyDescent="0.25">
      <c r="A35" s="1">
        <v>44927</v>
      </c>
      <c r="B35" t="s">
        <v>6</v>
      </c>
      <c r="C35">
        <v>15374</v>
      </c>
    </row>
    <row r="36" spans="1:3" x14ac:dyDescent="0.25">
      <c r="A36" s="1">
        <v>44927</v>
      </c>
      <c r="B36" t="s">
        <v>7</v>
      </c>
      <c r="C36">
        <v>4064</v>
      </c>
    </row>
    <row r="37" spans="1:3" x14ac:dyDescent="0.25">
      <c r="A37" s="1">
        <v>44958</v>
      </c>
      <c r="B37" t="s">
        <v>3</v>
      </c>
      <c r="C37">
        <v>32500</v>
      </c>
    </row>
    <row r="38" spans="1:3" x14ac:dyDescent="0.25">
      <c r="A38" s="1">
        <v>44958</v>
      </c>
      <c r="B38" t="s">
        <v>4</v>
      </c>
      <c r="C38">
        <v>45180</v>
      </c>
    </row>
    <row r="39" spans="1:3" x14ac:dyDescent="0.25">
      <c r="A39" s="1">
        <v>44958</v>
      </c>
      <c r="B39" t="s">
        <v>5</v>
      </c>
      <c r="C39">
        <v>30200</v>
      </c>
    </row>
    <row r="40" spans="1:3" x14ac:dyDescent="0.25">
      <c r="A40" s="1">
        <v>44958</v>
      </c>
      <c r="B40" t="s">
        <v>6</v>
      </c>
      <c r="C40">
        <v>15374</v>
      </c>
    </row>
    <row r="41" spans="1:3" x14ac:dyDescent="0.25">
      <c r="A41" s="1">
        <v>44958</v>
      </c>
      <c r="B41" t="s">
        <v>7</v>
      </c>
      <c r="C41">
        <v>1258</v>
      </c>
    </row>
    <row r="42" spans="1:3" x14ac:dyDescent="0.25">
      <c r="A42" s="1">
        <v>44986</v>
      </c>
      <c r="B42" t="s">
        <v>3</v>
      </c>
      <c r="C42">
        <v>49000</v>
      </c>
    </row>
    <row r="43" spans="1:3" x14ac:dyDescent="0.25">
      <c r="A43" s="1">
        <v>44986</v>
      </c>
      <c r="B43" t="s">
        <v>4</v>
      </c>
      <c r="C43">
        <v>106440</v>
      </c>
    </row>
    <row r="44" spans="1:3" x14ac:dyDescent="0.25">
      <c r="A44" s="1">
        <v>44986</v>
      </c>
      <c r="B44" t="s">
        <v>5</v>
      </c>
      <c r="C44">
        <v>46500</v>
      </c>
    </row>
    <row r="45" spans="1:3" x14ac:dyDescent="0.25">
      <c r="A45" s="1">
        <v>44986</v>
      </c>
      <c r="B45" t="s">
        <v>6</v>
      </c>
      <c r="C45">
        <v>13578</v>
      </c>
    </row>
    <row r="46" spans="1:3" x14ac:dyDescent="0.25">
      <c r="A46" s="1">
        <v>44986</v>
      </c>
      <c r="B46" t="s">
        <v>7</v>
      </c>
      <c r="C46">
        <v>3670</v>
      </c>
    </row>
    <row r="47" spans="1:3" x14ac:dyDescent="0.25">
      <c r="A47" s="1">
        <v>45017</v>
      </c>
      <c r="B47" t="s">
        <v>3</v>
      </c>
      <c r="C47">
        <v>16750</v>
      </c>
    </row>
    <row r="48" spans="1:3" x14ac:dyDescent="0.25">
      <c r="A48" s="1">
        <v>45017</v>
      </c>
      <c r="B48" t="s">
        <v>4</v>
      </c>
      <c r="C48">
        <v>39800</v>
      </c>
    </row>
    <row r="49" spans="1:3" x14ac:dyDescent="0.25">
      <c r="A49" s="1">
        <v>45017</v>
      </c>
      <c r="B49" t="s">
        <v>5</v>
      </c>
      <c r="C49">
        <v>26500</v>
      </c>
    </row>
    <row r="50" spans="1:3" x14ac:dyDescent="0.25">
      <c r="A50" s="1">
        <v>45017</v>
      </c>
      <c r="B50" t="s">
        <v>6</v>
      </c>
      <c r="C50">
        <v>10281</v>
      </c>
    </row>
    <row r="51" spans="1:3" x14ac:dyDescent="0.25">
      <c r="A51" s="1">
        <v>45017</v>
      </c>
      <c r="B51" t="s">
        <v>7</v>
      </c>
      <c r="C51">
        <v>1669</v>
      </c>
    </row>
  </sheetData>
  <sortState xmlns:xlrd2="http://schemas.microsoft.com/office/spreadsheetml/2017/richdata2" ref="A2:C51">
    <sortCondition ref="A2:A51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8C40-3985-4996-9C08-C2FF2E62B8A1}">
  <dimension ref="A1:I14"/>
  <sheetViews>
    <sheetView workbookViewId="0">
      <selection activeCell="Q30" sqref="Q30"/>
    </sheetView>
  </sheetViews>
  <sheetFormatPr defaultRowHeight="15" x14ac:dyDescent="0.25"/>
  <cols>
    <col min="1" max="1" width="14.28515625" bestFit="1" customWidth="1"/>
    <col min="5" max="5" width="14.28515625" bestFit="1" customWidth="1"/>
  </cols>
  <sheetData>
    <row r="1" spans="1:9" x14ac:dyDescent="0.25">
      <c r="A1" t="s">
        <v>0</v>
      </c>
      <c r="B1" t="s">
        <v>2</v>
      </c>
      <c r="E1" t="s">
        <v>35</v>
      </c>
      <c r="F1" s="2" t="s">
        <v>36</v>
      </c>
      <c r="G1" t="s">
        <v>11</v>
      </c>
      <c r="H1" t="s">
        <v>12</v>
      </c>
      <c r="I1" s="2" t="s">
        <v>34</v>
      </c>
    </row>
    <row r="2" spans="1:9" x14ac:dyDescent="0.25">
      <c r="A2" s="1">
        <v>44743</v>
      </c>
      <c r="B2">
        <v>4930</v>
      </c>
      <c r="E2" s="1">
        <v>44743</v>
      </c>
      <c r="F2" s="3">
        <v>29</v>
      </c>
      <c r="G2">
        <v>290</v>
      </c>
      <c r="H2">
        <v>17</v>
      </c>
      <c r="I2" s="3">
        <v>4930</v>
      </c>
    </row>
    <row r="3" spans="1:9" x14ac:dyDescent="0.25">
      <c r="A3" s="1">
        <v>44774</v>
      </c>
      <c r="B3">
        <v>17170</v>
      </c>
      <c r="E3" s="1">
        <v>44774</v>
      </c>
      <c r="F3" s="3">
        <v>31</v>
      </c>
      <c r="G3">
        <v>1010</v>
      </c>
      <c r="H3">
        <v>17</v>
      </c>
      <c r="I3" s="3">
        <v>17170</v>
      </c>
    </row>
    <row r="4" spans="1:9" x14ac:dyDescent="0.25">
      <c r="A4" s="1">
        <v>44805</v>
      </c>
      <c r="B4">
        <v>12580</v>
      </c>
      <c r="E4" s="1">
        <v>44805</v>
      </c>
      <c r="F4" s="3">
        <v>32</v>
      </c>
      <c r="G4">
        <v>740</v>
      </c>
      <c r="H4">
        <v>17</v>
      </c>
      <c r="I4" s="3">
        <v>12580</v>
      </c>
    </row>
    <row r="5" spans="1:9" x14ac:dyDescent="0.25">
      <c r="A5" s="1">
        <v>44835</v>
      </c>
      <c r="B5">
        <v>14280</v>
      </c>
      <c r="E5" s="1">
        <v>44835</v>
      </c>
      <c r="F5" s="3">
        <v>28</v>
      </c>
      <c r="G5">
        <v>840</v>
      </c>
      <c r="H5">
        <v>17</v>
      </c>
      <c r="I5" s="3">
        <v>14280</v>
      </c>
    </row>
    <row r="6" spans="1:9" x14ac:dyDescent="0.25">
      <c r="A6" s="1">
        <v>44866</v>
      </c>
      <c r="B6">
        <v>12580</v>
      </c>
      <c r="E6" s="1">
        <v>44866</v>
      </c>
      <c r="F6" s="3">
        <v>29</v>
      </c>
      <c r="G6">
        <v>740</v>
      </c>
      <c r="H6">
        <v>17</v>
      </c>
      <c r="I6" s="3">
        <v>12580</v>
      </c>
    </row>
    <row r="7" spans="1:9" x14ac:dyDescent="0.25">
      <c r="A7" s="1">
        <v>44896</v>
      </c>
      <c r="B7">
        <v>11730</v>
      </c>
      <c r="E7" s="1">
        <v>44896</v>
      </c>
      <c r="F7" s="3">
        <v>30</v>
      </c>
      <c r="G7">
        <v>690</v>
      </c>
      <c r="H7">
        <v>17</v>
      </c>
      <c r="I7" s="3">
        <v>11730</v>
      </c>
    </row>
    <row r="8" spans="1:9" x14ac:dyDescent="0.25">
      <c r="A8" s="1">
        <v>44927</v>
      </c>
      <c r="B8">
        <v>14300</v>
      </c>
      <c r="E8" s="1">
        <v>44927</v>
      </c>
      <c r="F8" s="3">
        <v>19</v>
      </c>
      <c r="G8">
        <v>650</v>
      </c>
      <c r="H8">
        <v>22</v>
      </c>
      <c r="I8" s="3">
        <v>14300</v>
      </c>
    </row>
    <row r="9" spans="1:9" x14ac:dyDescent="0.25">
      <c r="A9" s="1">
        <v>44958</v>
      </c>
      <c r="B9">
        <v>12980</v>
      </c>
      <c r="E9" s="1">
        <v>44958</v>
      </c>
      <c r="F9" s="3">
        <v>17</v>
      </c>
      <c r="G9">
        <v>590</v>
      </c>
      <c r="H9">
        <v>22</v>
      </c>
      <c r="I9" s="3">
        <v>12980</v>
      </c>
    </row>
    <row r="10" spans="1:9" x14ac:dyDescent="0.25">
      <c r="A10" s="1">
        <v>44986</v>
      </c>
      <c r="B10">
        <v>37840</v>
      </c>
      <c r="D10">
        <v>78</v>
      </c>
      <c r="E10" s="1">
        <v>44986</v>
      </c>
      <c r="F10" s="3">
        <v>22</v>
      </c>
      <c r="G10">
        <v>1720</v>
      </c>
      <c r="H10">
        <v>22</v>
      </c>
      <c r="I10" s="3">
        <v>37840</v>
      </c>
    </row>
    <row r="11" spans="1:9" ht="15.75" thickBot="1" x14ac:dyDescent="0.3">
      <c r="A11" s="1">
        <v>45017</v>
      </c>
      <c r="B11">
        <v>13200</v>
      </c>
      <c r="D11">
        <v>26</v>
      </c>
      <c r="E11" s="1">
        <v>45017</v>
      </c>
      <c r="F11" s="4">
        <v>23</v>
      </c>
      <c r="G11">
        <v>600</v>
      </c>
      <c r="H11">
        <v>22</v>
      </c>
      <c r="I11" s="4">
        <v>13200</v>
      </c>
    </row>
    <row r="13" spans="1:9" x14ac:dyDescent="0.25">
      <c r="A13" t="s">
        <v>9</v>
      </c>
      <c r="E13" t="s">
        <v>13</v>
      </c>
    </row>
    <row r="14" spans="1:9" x14ac:dyDescent="0.25">
      <c r="A14" t="s">
        <v>10</v>
      </c>
      <c r="E14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D51-98E9-4F77-82B6-B7251B04A041}">
  <dimension ref="A1:AA26"/>
  <sheetViews>
    <sheetView tabSelected="1" workbookViewId="0">
      <selection activeCell="T10" sqref="T10"/>
    </sheetView>
  </sheetViews>
  <sheetFormatPr defaultRowHeight="15" x14ac:dyDescent="0.25"/>
  <cols>
    <col min="1" max="1" width="14.28515625" bestFit="1" customWidth="1"/>
  </cols>
  <sheetData>
    <row r="1" spans="1:6" x14ac:dyDescent="0.25">
      <c r="A1" t="s">
        <v>35</v>
      </c>
      <c r="B1" t="s">
        <v>40</v>
      </c>
      <c r="C1" t="s">
        <v>37</v>
      </c>
      <c r="D1" t="s">
        <v>38</v>
      </c>
      <c r="E1" t="s">
        <v>8</v>
      </c>
      <c r="F1" t="s">
        <v>39</v>
      </c>
    </row>
    <row r="2" spans="1:6" x14ac:dyDescent="0.25">
      <c r="A2" s="8">
        <v>44743</v>
      </c>
      <c r="B2">
        <v>84168</v>
      </c>
      <c r="C2">
        <v>71</v>
      </c>
      <c r="D2">
        <v>1185.4647887323943</v>
      </c>
      <c r="E2">
        <v>10</v>
      </c>
      <c r="F2">
        <v>118.54647887323942</v>
      </c>
    </row>
    <row r="3" spans="1:6" x14ac:dyDescent="0.25">
      <c r="A3" s="8">
        <v>44774</v>
      </c>
      <c r="B3">
        <v>65006</v>
      </c>
      <c r="C3">
        <v>76</v>
      </c>
      <c r="D3">
        <v>855.34210526315792</v>
      </c>
      <c r="E3">
        <v>9</v>
      </c>
      <c r="F3">
        <v>95.038011695906434</v>
      </c>
    </row>
    <row r="4" spans="1:6" x14ac:dyDescent="0.25">
      <c r="A4" s="8">
        <v>44805</v>
      </c>
      <c r="B4">
        <v>86312</v>
      </c>
      <c r="C4">
        <v>82</v>
      </c>
      <c r="D4">
        <v>1052.5853658536585</v>
      </c>
      <c r="E4">
        <v>7</v>
      </c>
      <c r="F4">
        <v>150.36933797909407</v>
      </c>
    </row>
    <row r="5" spans="1:6" x14ac:dyDescent="0.25">
      <c r="A5" s="8">
        <v>44835</v>
      </c>
      <c r="B5">
        <v>80844</v>
      </c>
      <c r="C5">
        <v>87</v>
      </c>
      <c r="D5">
        <v>929.24137931034488</v>
      </c>
      <c r="E5">
        <v>6</v>
      </c>
      <c r="F5">
        <v>154.87356321839081</v>
      </c>
    </row>
    <row r="6" spans="1:6" x14ac:dyDescent="0.25">
      <c r="A6" s="8">
        <v>44866</v>
      </c>
      <c r="B6">
        <v>80719</v>
      </c>
      <c r="C6">
        <v>77</v>
      </c>
      <c r="D6">
        <v>1048.2987012987012</v>
      </c>
      <c r="E6">
        <v>5</v>
      </c>
      <c r="F6">
        <v>209.65974025974023</v>
      </c>
    </row>
    <row r="7" spans="1:6" x14ac:dyDescent="0.25">
      <c r="A7" s="8">
        <v>44896</v>
      </c>
      <c r="B7">
        <v>82357</v>
      </c>
      <c r="C7">
        <v>83</v>
      </c>
      <c r="D7">
        <v>992.25301204819277</v>
      </c>
      <c r="E7">
        <v>4</v>
      </c>
      <c r="F7">
        <v>248.06325301204819</v>
      </c>
    </row>
    <row r="8" spans="1:6" x14ac:dyDescent="0.25">
      <c r="A8" s="8">
        <v>44927</v>
      </c>
      <c r="B8">
        <v>129700</v>
      </c>
      <c r="C8">
        <v>127</v>
      </c>
      <c r="D8">
        <v>1021.2598425196851</v>
      </c>
      <c r="E8">
        <v>3</v>
      </c>
      <c r="F8">
        <v>340.4199475065617</v>
      </c>
    </row>
    <row r="9" spans="1:6" x14ac:dyDescent="0.25">
      <c r="A9" s="8">
        <v>44958</v>
      </c>
      <c r="B9">
        <v>143247</v>
      </c>
      <c r="C9">
        <v>124</v>
      </c>
      <c r="D9">
        <v>1155.2177419354839</v>
      </c>
      <c r="E9">
        <v>2</v>
      </c>
      <c r="F9">
        <v>577.60887096774195</v>
      </c>
    </row>
    <row r="10" spans="1:6" x14ac:dyDescent="0.25">
      <c r="A10" s="8">
        <v>44986</v>
      </c>
      <c r="B10">
        <v>224011</v>
      </c>
      <c r="C10">
        <v>206</v>
      </c>
      <c r="D10">
        <v>1087.4320388349515</v>
      </c>
      <c r="E10">
        <v>1</v>
      </c>
      <c r="F10">
        <v>1087.4320388349515</v>
      </c>
    </row>
    <row r="12" spans="1:6" x14ac:dyDescent="0.25">
      <c r="A12" t="s">
        <v>15</v>
      </c>
    </row>
    <row r="13" spans="1:6" x14ac:dyDescent="0.25">
      <c r="A13" t="s">
        <v>16</v>
      </c>
    </row>
    <row r="23" spans="22:27" x14ac:dyDescent="0.25">
      <c r="V23" t="s">
        <v>32</v>
      </c>
    </row>
    <row r="24" spans="22:27" x14ac:dyDescent="0.25">
      <c r="V24">
        <v>2992</v>
      </c>
      <c r="W24">
        <v>7933</v>
      </c>
      <c r="Y24">
        <v>2834</v>
      </c>
    </row>
    <row r="25" spans="22:27" x14ac:dyDescent="0.25">
      <c r="V25">
        <v>3078</v>
      </c>
      <c r="W25">
        <v>3078</v>
      </c>
      <c r="Y25">
        <v>7933</v>
      </c>
    </row>
    <row r="26" spans="22:27" x14ac:dyDescent="0.25">
      <c r="V26">
        <f>V24/V25</f>
        <v>0.97205977907732288</v>
      </c>
      <c r="W26">
        <f>W24/W25</f>
        <v>2.5773229369720596</v>
      </c>
      <c r="Y26" s="7">
        <f>Y24/Y25</f>
        <v>0.35724190092020675</v>
      </c>
      <c r="Z26">
        <f>W26*Y26</f>
        <v>0.9207277452891488</v>
      </c>
      <c r="AA26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Query_result_1</vt:lpstr>
      <vt:lpstr>Query_result_2</vt:lpstr>
      <vt:lpstr>Query_result_3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Daniil Cherezov</cp:lastModifiedBy>
  <dcterms:created xsi:type="dcterms:W3CDTF">2025-10-04T11:02:39Z</dcterms:created>
  <dcterms:modified xsi:type="dcterms:W3CDTF">2025-10-22T13:13:36Z</dcterms:modified>
</cp:coreProperties>
</file>